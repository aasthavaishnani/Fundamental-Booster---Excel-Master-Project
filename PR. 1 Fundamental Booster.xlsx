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D72A5169-9500-4A0A-A42E-CD70853E70BE}"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Students Grade" sheetId="2" r:id="rId2"/>
    <sheet name="Sales Data" sheetId="3" r:id="rId3"/>
    <sheet name="Employee Data" sheetId="4" r:id="rId4"/>
  </sheets>
  <calcPr calcId="191029"/>
</workbook>
</file>

<file path=xl/calcChain.xml><?xml version="1.0" encoding="utf-8"?>
<calcChain xmlns="http://schemas.openxmlformats.org/spreadsheetml/2006/main">
  <c r="M10" i="4" l="1"/>
  <c r="N10" i="4"/>
  <c r="L10" i="4"/>
  <c r="P18" i="3"/>
  <c r="G26" i="2"/>
  <c r="M3" i="3"/>
  <c r="M4" i="3"/>
  <c r="M5" i="3"/>
  <c r="M6" i="3"/>
  <c r="M7" i="3"/>
  <c r="M8" i="3"/>
  <c r="M9" i="3"/>
  <c r="M10" i="3"/>
  <c r="M11" i="3"/>
  <c r="M12" i="3"/>
  <c r="M13" i="3"/>
  <c r="M14" i="3"/>
  <c r="M15" i="3"/>
  <c r="M16" i="3"/>
  <c r="M17" i="3"/>
  <c r="M18" i="3"/>
  <c r="M19" i="3"/>
  <c r="M20" i="3"/>
  <c r="M21" i="3"/>
  <c r="M2" i="3"/>
  <c r="L3" i="3"/>
  <c r="L4" i="3"/>
  <c r="L5" i="3"/>
  <c r="L6" i="3"/>
  <c r="L7" i="3"/>
  <c r="L8" i="3"/>
  <c r="L9" i="3"/>
  <c r="L10" i="3"/>
  <c r="L11" i="3"/>
  <c r="L12" i="3"/>
  <c r="L13" i="3"/>
  <c r="L14" i="3"/>
  <c r="L15" i="3"/>
  <c r="L16" i="3"/>
  <c r="L17" i="3"/>
  <c r="L18" i="3"/>
  <c r="L19" i="3"/>
  <c r="L20" i="3"/>
  <c r="L21" i="3"/>
  <c r="L2" i="3"/>
  <c r="K3" i="3"/>
  <c r="K4" i="3"/>
  <c r="K5" i="3"/>
  <c r="K6" i="3"/>
  <c r="K7" i="3"/>
  <c r="K8" i="3"/>
  <c r="K9" i="3"/>
  <c r="K10" i="3"/>
  <c r="K11" i="3"/>
  <c r="K12" i="3"/>
  <c r="K13" i="3"/>
  <c r="K14" i="3"/>
  <c r="K15" i="3"/>
  <c r="K16" i="3"/>
  <c r="K17" i="3"/>
  <c r="K18" i="3"/>
  <c r="K19" i="3"/>
  <c r="K20" i="3"/>
  <c r="K21" i="3"/>
  <c r="K2" i="3"/>
  <c r="G3" i="4"/>
  <c r="G4" i="4"/>
  <c r="G5" i="4"/>
  <c r="G6" i="4"/>
  <c r="G7" i="4"/>
  <c r="G8" i="4"/>
  <c r="G9" i="4"/>
  <c r="G10" i="4"/>
  <c r="G11" i="4"/>
  <c r="G12" i="4"/>
  <c r="G13" i="4"/>
  <c r="G14" i="4"/>
  <c r="G15" i="4"/>
  <c r="G16" i="4"/>
  <c r="G17" i="4"/>
  <c r="G18" i="4"/>
  <c r="G19" i="4"/>
  <c r="G20" i="4"/>
  <c r="G21" i="4"/>
  <c r="G2" i="4"/>
  <c r="F19" i="4"/>
  <c r="M3" i="2"/>
  <c r="M4" i="2"/>
  <c r="M5" i="2"/>
  <c r="M6" i="2"/>
  <c r="M7" i="2"/>
  <c r="M8" i="2"/>
  <c r="M9" i="2"/>
  <c r="M10" i="2"/>
  <c r="M11" i="2"/>
  <c r="M12" i="2"/>
  <c r="M13" i="2"/>
  <c r="M14" i="2"/>
  <c r="M15" i="2"/>
  <c r="M16" i="2"/>
  <c r="M17" i="2"/>
  <c r="M18" i="2"/>
  <c r="M19" i="2"/>
  <c r="M20" i="2"/>
  <c r="M21" i="2"/>
  <c r="M2" i="2"/>
  <c r="L3" i="2"/>
  <c r="L4" i="2"/>
  <c r="L5" i="2"/>
  <c r="L6" i="2"/>
  <c r="L7" i="2"/>
  <c r="L8" i="2"/>
  <c r="L9" i="2"/>
  <c r="L10" i="2"/>
  <c r="L11" i="2"/>
  <c r="L12" i="2"/>
  <c r="L13" i="2"/>
  <c r="L14" i="2"/>
  <c r="L15" i="2"/>
  <c r="L16" i="2"/>
  <c r="L17" i="2"/>
  <c r="L18" i="2"/>
  <c r="L19" i="2"/>
  <c r="L20" i="2"/>
  <c r="L21" i="2"/>
  <c r="L2" i="2"/>
  <c r="K3" i="2"/>
  <c r="K4" i="2"/>
  <c r="K5" i="2"/>
  <c r="K6" i="2"/>
  <c r="K7" i="2"/>
  <c r="K8" i="2"/>
  <c r="K9" i="2"/>
  <c r="K10" i="2"/>
  <c r="K11" i="2"/>
  <c r="K12" i="2"/>
  <c r="K13" i="2"/>
  <c r="K14" i="2"/>
  <c r="K15" i="2"/>
  <c r="K16" i="2"/>
  <c r="K17" i="2"/>
  <c r="K18" i="2"/>
  <c r="K19" i="2"/>
  <c r="K20" i="2"/>
  <c r="K21" i="2"/>
  <c r="K2" i="2"/>
  <c r="Q14" i="3" a="1"/>
  <c r="Q14" i="3" s="1"/>
  <c r="F26" i="2"/>
  <c r="C31" i="2"/>
  <c r="Q10" i="3"/>
  <c r="C28" i="2"/>
  <c r="I2" i="3"/>
  <c r="J3" i="3"/>
  <c r="J4" i="3"/>
  <c r="J5" i="3"/>
  <c r="J6" i="3"/>
  <c r="J7" i="3"/>
  <c r="J8" i="3"/>
  <c r="J9" i="3"/>
  <c r="J10" i="3"/>
  <c r="J11" i="3"/>
  <c r="J12" i="3"/>
  <c r="J13" i="3"/>
  <c r="J14" i="3"/>
  <c r="J15" i="3"/>
  <c r="J16" i="3"/>
  <c r="J17" i="3"/>
  <c r="J18" i="3"/>
  <c r="J19" i="3"/>
  <c r="J20" i="3"/>
  <c r="J21" i="3"/>
  <c r="J2" i="3"/>
  <c r="J3" i="2"/>
  <c r="J4" i="2"/>
  <c r="J5" i="2"/>
  <c r="J6" i="2"/>
  <c r="J7" i="2"/>
  <c r="J8" i="2"/>
  <c r="J9" i="2"/>
  <c r="J10" i="2"/>
  <c r="J11" i="2"/>
  <c r="J12" i="2"/>
  <c r="J13" i="2"/>
  <c r="J14" i="2"/>
  <c r="J15" i="2"/>
  <c r="J16" i="2"/>
  <c r="J17" i="2"/>
  <c r="J18" i="2"/>
  <c r="J19" i="2"/>
  <c r="J20" i="2"/>
  <c r="J21" i="2"/>
  <c r="J2" i="2"/>
  <c r="I3" i="3"/>
  <c r="I4" i="3"/>
  <c r="I5" i="3"/>
  <c r="I6" i="3"/>
  <c r="I7" i="3"/>
  <c r="I8" i="3"/>
  <c r="I9" i="3"/>
  <c r="I10" i="3"/>
  <c r="I11" i="3"/>
  <c r="I12" i="3"/>
  <c r="I13" i="3"/>
  <c r="I14" i="3"/>
  <c r="I15" i="3"/>
  <c r="I16" i="3"/>
  <c r="I17" i="3"/>
  <c r="I18" i="3"/>
  <c r="I19" i="3"/>
  <c r="I20" i="3"/>
  <c r="I21" i="3"/>
  <c r="G3" i="3"/>
  <c r="G4" i="3"/>
  <c r="G5" i="3"/>
  <c r="G6" i="3"/>
  <c r="G7" i="3"/>
  <c r="G8" i="3"/>
  <c r="G9" i="3"/>
  <c r="G10" i="3"/>
  <c r="G11" i="3"/>
  <c r="G12" i="3"/>
  <c r="G13" i="3"/>
  <c r="G14" i="3"/>
  <c r="G15" i="3"/>
  <c r="G16" i="3"/>
  <c r="G17" i="3"/>
  <c r="G18" i="3"/>
  <c r="G19" i="3"/>
  <c r="G20" i="3"/>
  <c r="G21" i="3"/>
  <c r="G2" i="3"/>
  <c r="H2" i="3"/>
  <c r="H3" i="3"/>
  <c r="H4" i="3"/>
  <c r="H5" i="3"/>
  <c r="H6" i="3"/>
  <c r="H7" i="3"/>
  <c r="H8" i="3"/>
  <c r="H9" i="3"/>
  <c r="H10" i="3"/>
  <c r="H11" i="3"/>
  <c r="H12" i="3"/>
  <c r="H13" i="3"/>
  <c r="H14" i="3"/>
  <c r="H15" i="3"/>
  <c r="H16" i="3"/>
  <c r="H17" i="3"/>
  <c r="H18" i="3"/>
  <c r="H19" i="3"/>
  <c r="H20" i="3"/>
  <c r="H21" i="3"/>
  <c r="L6" i="4"/>
  <c r="F3" i="4"/>
  <c r="F4" i="4"/>
  <c r="F5" i="4"/>
  <c r="F6" i="4"/>
  <c r="F7" i="4"/>
  <c r="F8" i="4"/>
  <c r="F9" i="4"/>
  <c r="F10" i="4"/>
  <c r="F11" i="4"/>
  <c r="F12" i="4"/>
  <c r="F13" i="4"/>
  <c r="F14" i="4"/>
  <c r="F15" i="4"/>
  <c r="F16" i="4"/>
  <c r="F17" i="4"/>
  <c r="F18" i="4"/>
  <c r="F20" i="4"/>
  <c r="F21" i="4"/>
  <c r="F2" i="4"/>
  <c r="P6" i="3"/>
  <c r="C25" i="2"/>
  <c r="H3" i="2"/>
  <c r="H6" i="2"/>
  <c r="H9" i="2"/>
  <c r="H11" i="2"/>
  <c r="H14" i="2"/>
  <c r="H17" i="2"/>
  <c r="H19" i="2"/>
  <c r="H2" i="2"/>
  <c r="G3" i="2"/>
  <c r="I3" i="2" s="1"/>
  <c r="G4" i="2"/>
  <c r="I4" i="2" s="1"/>
  <c r="G5" i="2"/>
  <c r="I5" i="2" s="1"/>
  <c r="G6" i="2"/>
  <c r="I6" i="2" s="1"/>
  <c r="G7" i="2"/>
  <c r="H7" i="2" s="1"/>
  <c r="G8" i="2"/>
  <c r="H8" i="2" s="1"/>
  <c r="G9" i="2"/>
  <c r="I9" i="2" s="1"/>
  <c r="G10" i="2"/>
  <c r="H10" i="2" s="1"/>
  <c r="G11" i="2"/>
  <c r="I11" i="2" s="1"/>
  <c r="G12" i="2"/>
  <c r="I12" i="2" s="1"/>
  <c r="G13" i="2"/>
  <c r="I13" i="2" s="1"/>
  <c r="G14" i="2"/>
  <c r="I14" i="2" s="1"/>
  <c r="G15" i="2"/>
  <c r="H15" i="2" s="1"/>
  <c r="G16" i="2"/>
  <c r="H16" i="2" s="1"/>
  <c r="G17" i="2"/>
  <c r="I17" i="2" s="1"/>
  <c r="G18" i="2"/>
  <c r="H18" i="2" s="1"/>
  <c r="G19" i="2"/>
  <c r="I19" i="2" s="1"/>
  <c r="G20" i="2"/>
  <c r="I20" i="2" s="1"/>
  <c r="G21" i="2"/>
  <c r="I21" i="2" s="1"/>
  <c r="G2" i="2"/>
  <c r="I2" i="2" s="1"/>
  <c r="I18" i="2" l="1"/>
  <c r="I10" i="2"/>
  <c r="H21" i="2"/>
  <c r="H13" i="2"/>
  <c r="H5" i="2"/>
  <c r="H20" i="2"/>
  <c r="H12" i="2"/>
  <c r="H4" i="2"/>
  <c r="I16" i="2"/>
  <c r="I8" i="2"/>
  <c r="I15" i="2"/>
  <c r="I7" i="2"/>
</calcChain>
</file>

<file path=xl/sharedStrings.xml><?xml version="1.0" encoding="utf-8"?>
<sst xmlns="http://schemas.openxmlformats.org/spreadsheetml/2006/main" count="222" uniqueCount="157">
  <si>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</si>
  <si>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</si>
  <si>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</si>
  <si>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</si>
  <si>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</si>
  <si>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</si>
  <si>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</si>
  <si>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</si>
  <si>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</si>
  <si>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</si>
  <si>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</si>
  <si>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</si>
  <si>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</si>
  <si>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</si>
  <si>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</si>
  <si>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</si>
  <si>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</si>
  <si>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</si>
  <si>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</si>
  <si>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</si>
  <si>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</si>
  <si>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</si>
  <si>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</si>
  <si>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</si>
  <si>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</si>
  <si>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</si>
  <si>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</si>
  <si>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</si>
  <si>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</si>
  <si>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</si>
  <si>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</si>
  <si>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</si>
  <si>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</si>
  <si>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</si>
  <si>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</si>
  <si>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</si>
  <si>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</si>
  <si>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</si>
  <si>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</si>
  <si>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</si>
  <si>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</si>
  <si>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</si>
  <si>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</si>
  <si>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</si>
  <si>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</si>
  <si>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</si>
  <si>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</si>
  <si>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</si>
  <si>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</si>
  <si>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</si>
  <si>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</si>
  <si>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</si>
  <si>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</si>
  <si>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</si>
  <si>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</si>
  <si>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</si>
  <si>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</si>
  <si>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</si>
  <si>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</si>
  <si>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</si>
  <si>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</si>
  <si>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</si>
  <si>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</si>
  <si>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</si>
  <si>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</si>
  <si>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</si>
  <si>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</si>
  <si>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</si>
  <si>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</si>
  <si>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</si>
  <si>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</si>
  <si>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</si>
  <si>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</si>
  <si>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</si>
  <si>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</si>
  <si>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</si>
  <si>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</si>
  <si>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</si>
  <si>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</si>
  <si>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</si>
  <si>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</si>
  <si>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</si>
  <si>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</si>
  <si>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</si>
  <si>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</si>
  <si>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</si>
  <si>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</si>
  <si>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</si>
  <si>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</si>
  <si>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</si>
  <si>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</si>
  <si>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</si>
  <si>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</si>
  <si>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</si>
  <si>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</si>
  <si>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</si>
  <si>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</si>
  <si>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</si>
  <si>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</si>
  <si>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</si>
  <si>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</si>
  <si>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</si>
  <si>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</si>
  <si>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</si>
  <si>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</si>
  <si>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</si>
  <si>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</si>
  <si>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</si>
  <si>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</si>
  <si>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</si>
  <si>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</si>
  <si>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</si>
  <si>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</si>
  <si>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</si>
  <si>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</si>
  <si>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</si>
  <si>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</si>
  <si>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</si>
  <si>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</si>
  <si>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</si>
  <si>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</si>
  <si>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</si>
  <si>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</si>
  <si>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</si>
  <si>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</si>
  <si>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</si>
  <si>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</si>
  <si>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</si>
  <si>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</si>
  <si>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</si>
  <si>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Class</t>
  </si>
  <si>
    <t>Grade</t>
  </si>
  <si>
    <t>Students scoring &gt; 60</t>
  </si>
  <si>
    <t>Search Sales ID</t>
  </si>
  <si>
    <t>Product Amount</t>
  </si>
  <si>
    <t>Product Price Finder (VLOOKUP)</t>
  </si>
  <si>
    <t>Average</t>
  </si>
  <si>
    <t>Search Employee ID</t>
  </si>
  <si>
    <t>Service Years</t>
  </si>
  <si>
    <t>GST Rate</t>
  </si>
  <si>
    <t>GST</t>
  </si>
  <si>
    <t>TAX</t>
  </si>
  <si>
    <t>Discount</t>
  </si>
  <si>
    <t>Top Performer?</t>
  </si>
  <si>
    <t>Discount Eligibility</t>
  </si>
  <si>
    <t>Scoring &lt; 50 in Math</t>
  </si>
  <si>
    <t>Avg (scoring &gt; 60 )</t>
  </si>
  <si>
    <t>Product name</t>
  </si>
  <si>
    <t>Product Price</t>
  </si>
  <si>
    <t>Round figure</t>
  </si>
  <si>
    <t>Perfect value (Ceiling)</t>
  </si>
  <si>
    <t>Nearest value (Floor)</t>
  </si>
  <si>
    <t>A1-5,2</t>
  </si>
  <si>
    <t>Extract</t>
  </si>
  <si>
    <t>Upper</t>
  </si>
  <si>
    <t>lower</t>
  </si>
  <si>
    <t>Xlookup , Xmatch and filter functions are not woring in may excel old version(2019).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</si>
</sst>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F800]dddd\,\ mmmm\ dd\,\ yyyy"/>
    <numFmt numFmtId="166" formatCode="&quot;₹&quot;\ #,##0.00"/>
  </numFmts>
  <fonts count="1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rgb="FF000000"/>
      <name val="Calibri"/>
      <family val="2"/>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6" fillId="2" borderId="1" xfId="0" applyFont="1" applyFill="1" applyBorder="1" applyAlignment="1">
      <alignment horizontal="center" vertical="center"/>
    </xf>
    <xf numFmtId="0" fontId="7" fillId="0" borderId="0" xfId="0" applyFont="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9" fillId="2" borderId="1" xfId="0" applyFont="1" applyFill="1" applyBorder="1" applyAlignment="1">
      <alignment horizontal="center" vertical="center"/>
    </xf>
    <xf numFmtId="0" fontId="7" fillId="0" borderId="0" xfId="0" applyFont="1" applyAlignment="1">
      <alignment horizontal="center" vertical="center"/>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11" fillId="0" borderId="1" xfId="0" applyFont="1" applyBorder="1" applyAlignment="1">
      <alignment vertical="center" wrapText="1"/>
    </xf>
    <xf numFmtId="0" fontId="5" fillId="0" borderId="0" xfId="0" applyFont="1"/>
    <xf numFmtId="0" fontId="5" fillId="0" borderId="0" xfId="0" applyFont="1" applyAlignment="1">
      <alignment horizontal="left" vertical="center"/>
    </xf>
    <xf numFmtId="165" fontId="9" fillId="2" borderId="1" xfId="0" applyNumberFormat="1" applyFont="1" applyFill="1" applyBorder="1" applyAlignment="1">
      <alignment horizontal="center" vertical="center"/>
    </xf>
    <xf numFmtId="165" fontId="8" fillId="0" borderId="1" xfId="0" applyNumberFormat="1" applyFont="1" applyBorder="1" applyAlignment="1">
      <alignment horizontal="center" vertical="center"/>
    </xf>
    <xf numFmtId="165" fontId="7" fillId="0" borderId="0" xfId="0" applyNumberFormat="1" applyFont="1" applyAlignment="1">
      <alignment horizontal="center" vertical="center"/>
    </xf>
    <xf numFmtId="165" fontId="0" fillId="0" borderId="0" xfId="0" applyNumberFormat="1"/>
    <xf numFmtId="166" fontId="9" fillId="2" borderId="1" xfId="0" applyNumberFormat="1" applyFont="1" applyFill="1" applyBorder="1" applyAlignment="1">
      <alignment horizontal="center" vertical="center"/>
    </xf>
    <xf numFmtId="166" fontId="8" fillId="0" borderId="1" xfId="0" applyNumberFormat="1" applyFont="1" applyBorder="1" applyAlignment="1">
      <alignment horizontal="right" vertical="center"/>
    </xf>
    <xf numFmtId="166" fontId="7" fillId="0" borderId="0" xfId="0" applyNumberFormat="1" applyFont="1" applyAlignment="1">
      <alignment horizontal="right" vertical="center"/>
    </xf>
    <xf numFmtId="166" fontId="0" fillId="0" borderId="0" xfId="0" applyNumberFormat="1" applyAlignment="1">
      <alignment horizontal="right"/>
    </xf>
    <xf numFmtId="165" fontId="8" fillId="0" borderId="1" xfId="0" applyNumberFormat="1" applyFont="1" applyBorder="1" applyAlignment="1">
      <alignment horizontal="right" vertical="center"/>
    </xf>
    <xf numFmtId="9" fontId="7" fillId="0" borderId="0" xfId="0" applyNumberFormat="1" applyFont="1" applyAlignment="1">
      <alignment horizontal="center" vertical="center"/>
    </xf>
    <xf numFmtId="165" fontId="14" fillId="2" borderId="1" xfId="0" applyNumberFormat="1" applyFont="1" applyFill="1" applyBorder="1" applyAlignment="1">
      <alignment horizontal="center" vertical="center"/>
    </xf>
    <xf numFmtId="166" fontId="4" fillId="0" borderId="0" xfId="0" applyNumberFormat="1" applyFont="1"/>
    <xf numFmtId="0" fontId="0" fillId="0" borderId="0" xfId="0" applyAlignment="1">
      <alignment horizontal="center"/>
    </xf>
    <xf numFmtId="0" fontId="0" fillId="0" borderId="0" xfId="0" applyAlignment="1">
      <alignment horizontal="right"/>
    </xf>
    <xf numFmtId="0" fontId="16" fillId="0" borderId="0" xfId="0" applyFont="1"/>
    <xf numFmtId="0" fontId="3" fillId="0" borderId="0" xfId="0" applyFont="1"/>
    <xf numFmtId="0" fontId="3" fillId="0" borderId="0" xfId="0" applyFont="1" applyAlignment="1">
      <alignment horizontal="center" vertical="center"/>
    </xf>
    <xf numFmtId="0" fontId="15" fillId="0" borderId="0" xfId="0" applyFont="1" applyAlignment="1">
      <alignment horizontal="center" vertical="center"/>
    </xf>
    <xf numFmtId="166" fontId="0" fillId="0" borderId="0" xfId="0" applyNumberFormat="1"/>
    <xf numFmtId="0" fontId="15" fillId="0" borderId="0" xfId="0" applyFont="1"/>
    <xf numFmtId="0" fontId="2" fillId="0" borderId="0" xfId="0" applyFont="1"/>
    <xf numFmtId="0" fontId="2" fillId="0" borderId="0" xfId="0" applyFont="1" applyAlignment="1">
      <alignment horizontal="center" vertical="center"/>
    </xf>
    <xf numFmtId="0" fontId="14" fillId="2" borderId="1" xfId="0" applyFont="1" applyFill="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topLeftCell="A5" workbookViewId="0">
      <selection activeCell="C8" sqref="C8"/>
    </sheetView>
  </sheetViews>
  <sheetFormatPr defaultColWidth="14.44140625" defaultRowHeight="15" customHeight="1"/>
  <cols>
    <col min="1" max="1" width="75.44140625" customWidth="1"/>
  </cols>
  <sheetData>
    <row r="1" spans="1:26" ht="14.4">
      <c r="A1" s="1" t="s">
        <v>0</v>
      </c>
      <c r="B1" s="2"/>
      <c r="C1" s="2"/>
      <c r="D1" s="2"/>
      <c r="E1" s="2"/>
      <c r="F1" s="2"/>
      <c r="G1" s="2"/>
      <c r="H1" s="2"/>
      <c r="I1" s="2"/>
      <c r="J1" s="2"/>
      <c r="K1" s="2"/>
      <c r="L1" s="2"/>
      <c r="M1" s="2"/>
      <c r="N1" s="2"/>
      <c r="O1" s="2"/>
      <c r="P1" s="2"/>
      <c r="Q1" s="2"/>
      <c r="R1" s="2"/>
      <c r="S1" s="2"/>
      <c r="T1" s="2"/>
      <c r="U1" s="2"/>
      <c r="V1" s="2"/>
      <c r="W1" s="2"/>
      <c r="X1" s="2"/>
      <c r="Y1" s="2"/>
      <c r="Z1" s="2"/>
    </row>
    <row r="2" spans="1:26" ht="298.8" customHeight="1">
      <c r="A2" s="9" t="s">
        <v>1</v>
      </c>
      <c r="B2" s="2"/>
      <c r="C2" s="2"/>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 t="s">
        <v>2</v>
      </c>
      <c r="B5" s="2"/>
      <c r="C5" s="2"/>
      <c r="D5" s="2"/>
      <c r="E5" s="2"/>
      <c r="F5" s="2"/>
      <c r="G5" s="2"/>
      <c r="H5" s="2"/>
      <c r="I5" s="2"/>
      <c r="J5" s="2"/>
      <c r="K5" s="2"/>
      <c r="L5" s="2"/>
      <c r="M5" s="2"/>
      <c r="N5" s="2"/>
      <c r="O5" s="2"/>
      <c r="P5" s="2"/>
      <c r="Q5" s="2"/>
      <c r="R5" s="2"/>
      <c r="S5" s="2"/>
      <c r="T5" s="2"/>
      <c r="U5" s="2"/>
      <c r="V5" s="2"/>
      <c r="W5" s="2"/>
      <c r="X5" s="2"/>
      <c r="Y5" s="2"/>
      <c r="Z5" s="2"/>
    </row>
    <row r="6" spans="1:26" ht="14.4">
      <c r="A6" s="3" t="s">
        <v>3</v>
      </c>
      <c r="B6" s="2"/>
      <c r="C6" s="2"/>
      <c r="D6" s="2"/>
      <c r="E6" s="2"/>
      <c r="F6" s="2"/>
      <c r="G6" s="2"/>
      <c r="H6" s="2"/>
      <c r="I6" s="2"/>
      <c r="J6" s="2"/>
      <c r="K6" s="2"/>
      <c r="L6" s="2"/>
      <c r="M6" s="2"/>
      <c r="N6" s="2"/>
      <c r="O6" s="2"/>
      <c r="P6" s="2"/>
      <c r="Q6" s="2"/>
      <c r="R6" s="2"/>
      <c r="S6" s="2"/>
      <c r="T6" s="2"/>
      <c r="U6" s="2"/>
      <c r="V6" s="2"/>
      <c r="W6" s="2"/>
      <c r="X6" s="2"/>
      <c r="Y6" s="2"/>
      <c r="Z6" s="2"/>
    </row>
    <row r="7" spans="1:26" ht="14.4">
      <c r="A7" s="4" t="s">
        <v>4</v>
      </c>
      <c r="B7" s="2"/>
      <c r="C7" s="2" t="s">
        <v>156</v>
      </c>
      <c r="D7" s="2"/>
      <c r="E7" s="2"/>
      <c r="F7" s="2"/>
      <c r="G7" s="2"/>
      <c r="H7" s="2"/>
      <c r="I7" s="2"/>
      <c r="J7" s="2"/>
      <c r="K7" s="2"/>
      <c r="L7" s="2"/>
      <c r="M7" s="2"/>
      <c r="N7" s="2"/>
      <c r="O7" s="2"/>
      <c r="P7" s="2"/>
      <c r="Q7" s="2"/>
      <c r="R7" s="2"/>
      <c r="S7" s="2"/>
      <c r="T7" s="2"/>
      <c r="U7" s="2"/>
      <c r="V7" s="2"/>
      <c r="W7" s="2"/>
      <c r="X7" s="2"/>
      <c r="Y7" s="2"/>
      <c r="Z7" s="2"/>
    </row>
    <row r="8" spans="1:26" ht="14.4">
      <c r="A8" s="4" t="s">
        <v>5</v>
      </c>
      <c r="B8" s="2"/>
      <c r="C8" s="2"/>
      <c r="D8" s="2"/>
      <c r="E8" s="2"/>
      <c r="F8" s="2"/>
      <c r="G8" s="2"/>
      <c r="H8" s="2"/>
      <c r="I8" s="2"/>
      <c r="J8" s="2"/>
      <c r="K8" s="2"/>
      <c r="L8" s="2"/>
      <c r="M8" s="2"/>
      <c r="N8" s="2"/>
      <c r="O8" s="2"/>
      <c r="P8" s="2"/>
      <c r="Q8" s="2"/>
      <c r="R8" s="2"/>
      <c r="S8" s="2"/>
      <c r="T8" s="2"/>
      <c r="U8" s="2"/>
      <c r="V8" s="2"/>
      <c r="W8" s="2"/>
      <c r="X8" s="2"/>
      <c r="Y8" s="2"/>
      <c r="Z8" s="2"/>
    </row>
    <row r="9" spans="1:26" ht="14.4">
      <c r="A9" s="4"/>
      <c r="B9" s="2"/>
      <c r="C9" s="2"/>
      <c r="D9" s="2"/>
      <c r="E9" s="2"/>
      <c r="F9" s="2"/>
      <c r="G9" s="2"/>
      <c r="H9" s="2"/>
      <c r="I9" s="2"/>
      <c r="J9" s="2"/>
      <c r="K9" s="2"/>
      <c r="L9" s="2"/>
      <c r="M9" s="2"/>
      <c r="N9" s="2"/>
      <c r="O9" s="2"/>
      <c r="P9" s="2"/>
      <c r="Q9" s="2"/>
      <c r="R9" s="2"/>
      <c r="S9" s="2"/>
      <c r="T9" s="2"/>
      <c r="U9" s="2"/>
      <c r="V9" s="2"/>
      <c r="W9" s="2"/>
      <c r="X9" s="2"/>
      <c r="Y9" s="2"/>
      <c r="Z9" s="2"/>
    </row>
    <row r="10" spans="1:26" ht="14.4">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4"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4"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4"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4"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3"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4"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M2" sqref="M2"/>
    </sheetView>
  </sheetViews>
  <sheetFormatPr defaultColWidth="14.44140625" defaultRowHeight="15" customHeight="1"/>
  <cols>
    <col min="1" max="1" width="10.33203125" customWidth="1"/>
    <col min="2" max="2" width="18.33203125" bestFit="1" customWidth="1"/>
    <col min="3" max="3" width="5.88671875" customWidth="1"/>
    <col min="4" max="4" width="7.5546875" customWidth="1"/>
    <col min="5" max="5" width="9.88671875" bestFit="1" customWidth="1"/>
    <col min="6" max="6" width="18.88671875" customWidth="1"/>
    <col min="7" max="7" width="11.33203125" customWidth="1"/>
    <col min="8" max="8" width="11.5546875" customWidth="1"/>
    <col min="9" max="9" width="8.6640625" customWidth="1"/>
    <col min="10" max="10" width="13.88671875" bestFit="1" customWidth="1"/>
    <col min="11" max="11" width="8.6640625" customWidth="1"/>
    <col min="12" max="12" width="12.5546875" customWidth="1"/>
    <col min="13" max="13" width="10.33203125" customWidth="1"/>
    <col min="14" max="14" width="18.33203125" bestFit="1" customWidth="1"/>
    <col min="15" max="15" width="7" bestFit="1" customWidth="1"/>
    <col min="16" max="16" width="8.6640625" customWidth="1"/>
    <col min="17" max="17" width="9.88671875" bestFit="1" customWidth="1"/>
    <col min="18" max="26" width="8.6640625" customWidth="1"/>
  </cols>
  <sheetData>
    <row r="1" spans="1:26" ht="14.4">
      <c r="A1" s="5" t="s">
        <v>41</v>
      </c>
      <c r="B1" s="5" t="s">
        <v>42</v>
      </c>
      <c r="C1" s="5" t="s">
        <v>43</v>
      </c>
      <c r="D1" s="5" t="s">
        <v>44</v>
      </c>
      <c r="E1" s="5" t="s">
        <v>45</v>
      </c>
      <c r="F1" s="5" t="s">
        <v>46</v>
      </c>
      <c r="G1" s="5" t="s">
        <v>136</v>
      </c>
      <c r="H1" s="5" t="s">
        <v>130</v>
      </c>
      <c r="I1" s="5" t="s">
        <v>131</v>
      </c>
      <c r="J1" s="5" t="s">
        <v>143</v>
      </c>
      <c r="K1" s="34" t="s">
        <v>153</v>
      </c>
      <c r="L1" s="34" t="s">
        <v>154</v>
      </c>
      <c r="M1" s="34" t="s">
        <v>155</v>
      </c>
      <c r="N1" s="6"/>
      <c r="O1" s="6"/>
      <c r="P1" s="6"/>
      <c r="Q1" s="6"/>
      <c r="R1" s="6"/>
      <c r="S1" s="6"/>
      <c r="T1" s="6"/>
      <c r="U1" s="6"/>
      <c r="V1" s="6"/>
      <c r="W1" s="6"/>
      <c r="X1" s="6"/>
      <c r="Y1" s="6"/>
      <c r="Z1" s="6"/>
    </row>
    <row r="2" spans="1:26" ht="14.4">
      <c r="A2" s="7">
        <v>1001</v>
      </c>
      <c r="B2" s="7" t="s">
        <v>47</v>
      </c>
      <c r="C2" s="7">
        <v>61</v>
      </c>
      <c r="D2" s="7">
        <v>48</v>
      </c>
      <c r="E2" s="7">
        <v>76</v>
      </c>
      <c r="F2" s="8">
        <v>43101</v>
      </c>
      <c r="G2" s="7">
        <f>AVERAGE(C2:E2)</f>
        <v>61.666666666666664</v>
      </c>
      <c r="H2" s="7" t="str">
        <f>IF(G2&gt;=75, "Distinction", IF(2&gt;=60, "First Class", IF(G2&gt;=35, "Pass", "Fail")))</f>
        <v>Pass</v>
      </c>
      <c r="I2" s="7" t="str">
        <f>IF(G2&gt;=80, "A", IF(G2&gt;=60, "B", IF(G2&gt;=40, "C", "Fail")))</f>
        <v>B</v>
      </c>
      <c r="J2" s="7" t="str">
        <f>IF(AND(C2&gt;80, D2&gt;80, E2&gt;80), "Top Performer", "Average")</f>
        <v>Average</v>
      </c>
      <c r="K2" s="27" t="str">
        <f>LEFT(B2, FIND(" ", B2)-1)</f>
        <v>Student</v>
      </c>
      <c r="L2" s="26" t="str">
        <f>UPPER(B2)</f>
        <v>STUDENT 1</v>
      </c>
      <c r="M2" s="26" t="str">
        <f>LOWER(B2)</f>
        <v>student 1</v>
      </c>
      <c r="N2" s="6"/>
      <c r="O2" s="6"/>
      <c r="P2" s="6"/>
      <c r="Q2" s="6"/>
      <c r="R2" s="6"/>
      <c r="S2" s="6"/>
      <c r="T2" s="6"/>
      <c r="U2" s="6"/>
      <c r="V2" s="6"/>
      <c r="W2" s="6"/>
      <c r="X2" s="6"/>
      <c r="Y2" s="6"/>
      <c r="Z2" s="6"/>
    </row>
    <row r="3" spans="1:26" ht="14.4">
      <c r="A3" s="7">
        <v>1002</v>
      </c>
      <c r="B3" s="7" t="s">
        <v>48</v>
      </c>
      <c r="C3" s="7">
        <v>78</v>
      </c>
      <c r="D3" s="7">
        <v>76</v>
      </c>
      <c r="E3" s="7">
        <v>70</v>
      </c>
      <c r="F3" s="8">
        <v>43281</v>
      </c>
      <c r="G3" s="7">
        <f t="shared" ref="G3:G21" si="0">AVERAGE(C3:E3)</f>
        <v>74.666666666666671</v>
      </c>
      <c r="H3" s="7" t="str">
        <f t="shared" ref="H3:H21" si="1">IF(G3&gt;=75, "Distinction", IF(2&gt;=60, "First Class", IF(G3&gt;=35, "Pass", "Fail")))</f>
        <v>Pass</v>
      </c>
      <c r="I3" s="7" t="str">
        <f t="shared" ref="I3:I21" si="2">IF(G3&gt;=80, "A", IF(G3&gt;=60, "B", IF(G3&gt;=40, "C", "Fail")))</f>
        <v>B</v>
      </c>
      <c r="J3" s="7" t="str">
        <f t="shared" ref="J3:J21" si="3">IF(AND(C3&gt;80, D3&gt;80, E3&gt;80), "Top Performer", "Average")</f>
        <v>Average</v>
      </c>
      <c r="K3" s="27" t="str">
        <f t="shared" ref="K3:K21" si="4">LEFT(B3, FIND(" ", B3)-1)</f>
        <v>Student</v>
      </c>
      <c r="L3" s="26" t="str">
        <f t="shared" ref="L3:L21" si="5">UPPER(B3)</f>
        <v>STUDENT 2</v>
      </c>
      <c r="M3" s="26" t="str">
        <f t="shared" ref="M3:M21" si="6">LOWER(B3)</f>
        <v>student 2</v>
      </c>
      <c r="N3" s="6"/>
      <c r="O3" s="6"/>
      <c r="P3" s="6"/>
      <c r="Q3" s="6"/>
      <c r="R3" s="6"/>
      <c r="S3" s="6"/>
      <c r="T3" s="6"/>
      <c r="U3" s="6"/>
      <c r="V3" s="6"/>
      <c r="W3" s="6"/>
      <c r="X3" s="6"/>
      <c r="Y3" s="6"/>
      <c r="Z3" s="6"/>
    </row>
    <row r="4" spans="1:26" ht="14.4">
      <c r="A4" s="7">
        <v>1003</v>
      </c>
      <c r="B4" s="7" t="s">
        <v>49</v>
      </c>
      <c r="C4" s="7">
        <v>97</v>
      </c>
      <c r="D4" s="7">
        <v>60</v>
      </c>
      <c r="E4" s="7">
        <v>51</v>
      </c>
      <c r="F4" s="8">
        <v>43461</v>
      </c>
      <c r="G4" s="7">
        <f t="shared" si="0"/>
        <v>69.333333333333329</v>
      </c>
      <c r="H4" s="7" t="str">
        <f t="shared" si="1"/>
        <v>Pass</v>
      </c>
      <c r="I4" s="7" t="str">
        <f t="shared" si="2"/>
        <v>B</v>
      </c>
      <c r="J4" s="7" t="str">
        <f t="shared" si="3"/>
        <v>Average</v>
      </c>
      <c r="K4" s="27" t="str">
        <f t="shared" si="4"/>
        <v>Student</v>
      </c>
      <c r="L4" s="26" t="str">
        <f t="shared" si="5"/>
        <v>STUDENT 3</v>
      </c>
      <c r="M4" s="26" t="str">
        <f t="shared" si="6"/>
        <v>student 3</v>
      </c>
      <c r="N4" s="6"/>
      <c r="O4" s="6"/>
      <c r="P4" s="6"/>
      <c r="Q4" s="6"/>
      <c r="R4" s="6"/>
      <c r="S4" s="6"/>
      <c r="T4" s="6"/>
      <c r="U4" s="6"/>
      <c r="V4" s="6"/>
      <c r="W4" s="6"/>
      <c r="X4" s="6"/>
      <c r="Y4" s="6"/>
      <c r="Z4" s="6"/>
    </row>
    <row r="5" spans="1:26" ht="14.4">
      <c r="A5" s="7">
        <v>1004</v>
      </c>
      <c r="B5" s="7" t="s">
        <v>50</v>
      </c>
      <c r="C5" s="7">
        <v>74</v>
      </c>
      <c r="D5" s="7">
        <v>55</v>
      </c>
      <c r="E5" s="7">
        <v>46</v>
      </c>
      <c r="F5" s="8">
        <v>43641</v>
      </c>
      <c r="G5" s="7">
        <f t="shared" si="0"/>
        <v>58.333333333333336</v>
      </c>
      <c r="H5" s="7" t="str">
        <f t="shared" si="1"/>
        <v>Pass</v>
      </c>
      <c r="I5" s="7" t="str">
        <f t="shared" si="2"/>
        <v>C</v>
      </c>
      <c r="J5" s="7" t="str">
        <f t="shared" si="3"/>
        <v>Average</v>
      </c>
      <c r="K5" s="27" t="str">
        <f t="shared" si="4"/>
        <v>Student</v>
      </c>
      <c r="L5" s="26" t="str">
        <f t="shared" si="5"/>
        <v>STUDENT 4</v>
      </c>
      <c r="M5" s="26" t="str">
        <f t="shared" si="6"/>
        <v>student 4</v>
      </c>
      <c r="N5" s="6"/>
      <c r="O5" s="6"/>
      <c r="P5" s="6"/>
      <c r="Q5" s="6"/>
      <c r="R5" s="6"/>
      <c r="S5" s="6"/>
      <c r="T5" s="6"/>
      <c r="U5" s="6"/>
      <c r="V5" s="6"/>
      <c r="W5" s="6"/>
      <c r="X5" s="6"/>
      <c r="Y5" s="6"/>
      <c r="Z5" s="6"/>
    </row>
    <row r="6" spans="1:26" ht="14.4">
      <c r="A6" s="7">
        <v>1005</v>
      </c>
      <c r="B6" s="7" t="s">
        <v>51</v>
      </c>
      <c r="C6" s="7">
        <v>68</v>
      </c>
      <c r="D6" s="7">
        <v>74</v>
      </c>
      <c r="E6" s="7">
        <v>84</v>
      </c>
      <c r="F6" s="8">
        <v>43821</v>
      </c>
      <c r="G6" s="7">
        <f t="shared" si="0"/>
        <v>75.333333333333329</v>
      </c>
      <c r="H6" s="7" t="str">
        <f t="shared" si="1"/>
        <v>Distinction</v>
      </c>
      <c r="I6" s="7" t="str">
        <f t="shared" si="2"/>
        <v>B</v>
      </c>
      <c r="J6" s="7" t="str">
        <f t="shared" si="3"/>
        <v>Average</v>
      </c>
      <c r="K6" s="27" t="str">
        <f t="shared" si="4"/>
        <v>Student</v>
      </c>
      <c r="L6" s="26" t="str">
        <f t="shared" si="5"/>
        <v>STUDENT 5</v>
      </c>
      <c r="M6" s="26" t="str">
        <f t="shared" si="6"/>
        <v>student 5</v>
      </c>
      <c r="N6" s="6"/>
      <c r="O6" s="6"/>
      <c r="P6" s="6"/>
      <c r="Q6" s="6"/>
      <c r="R6" s="6"/>
      <c r="S6" s="6"/>
      <c r="T6" s="6"/>
      <c r="U6" s="6"/>
      <c r="V6" s="6"/>
      <c r="W6" s="6"/>
      <c r="X6" s="6"/>
      <c r="Y6" s="6"/>
      <c r="Z6" s="6"/>
    </row>
    <row r="7" spans="1:26" ht="14.4">
      <c r="A7" s="7">
        <v>1006</v>
      </c>
      <c r="B7" s="7" t="s">
        <v>52</v>
      </c>
      <c r="C7" s="7">
        <v>80</v>
      </c>
      <c r="D7" s="7">
        <v>70</v>
      </c>
      <c r="E7" s="7">
        <v>65</v>
      </c>
      <c r="F7" s="8">
        <v>44001</v>
      </c>
      <c r="G7" s="7">
        <f t="shared" si="0"/>
        <v>71.666666666666671</v>
      </c>
      <c r="H7" s="7" t="str">
        <f t="shared" si="1"/>
        <v>Pass</v>
      </c>
      <c r="I7" s="7" t="str">
        <f t="shared" si="2"/>
        <v>B</v>
      </c>
      <c r="J7" s="7" t="str">
        <f t="shared" si="3"/>
        <v>Average</v>
      </c>
      <c r="K7" s="27" t="str">
        <f t="shared" si="4"/>
        <v>Student</v>
      </c>
      <c r="L7" s="26" t="str">
        <f t="shared" si="5"/>
        <v>STUDENT 6</v>
      </c>
      <c r="M7" s="26" t="str">
        <f t="shared" si="6"/>
        <v>student 6</v>
      </c>
      <c r="S7" s="6"/>
      <c r="T7" s="6"/>
      <c r="U7" s="6"/>
      <c r="V7" s="6"/>
      <c r="W7" s="6"/>
      <c r="X7" s="6"/>
      <c r="Y7" s="6"/>
      <c r="Z7" s="6"/>
    </row>
    <row r="8" spans="1:26" ht="14.4">
      <c r="A8" s="7">
        <v>1007</v>
      </c>
      <c r="B8" s="7" t="s">
        <v>53</v>
      </c>
      <c r="C8" s="7">
        <v>75</v>
      </c>
      <c r="D8" s="7">
        <v>47</v>
      </c>
      <c r="E8" s="7">
        <v>78</v>
      </c>
      <c r="F8" s="8">
        <v>44181</v>
      </c>
      <c r="G8" s="7">
        <f t="shared" si="0"/>
        <v>66.666666666666671</v>
      </c>
      <c r="H8" s="7" t="str">
        <f t="shared" si="1"/>
        <v>Pass</v>
      </c>
      <c r="I8" s="7" t="str">
        <f t="shared" si="2"/>
        <v>B</v>
      </c>
      <c r="J8" s="7" t="str">
        <f t="shared" si="3"/>
        <v>Average</v>
      </c>
      <c r="K8" s="27" t="str">
        <f t="shared" si="4"/>
        <v>Student</v>
      </c>
      <c r="L8" s="26" t="str">
        <f t="shared" si="5"/>
        <v>STUDENT 7</v>
      </c>
      <c r="M8" s="26" t="str">
        <f t="shared" si="6"/>
        <v>student 7</v>
      </c>
      <c r="S8" s="6"/>
      <c r="T8" s="6"/>
      <c r="U8" s="6"/>
      <c r="V8" s="6"/>
      <c r="W8" s="6"/>
      <c r="X8" s="6"/>
      <c r="Y8" s="6"/>
      <c r="Z8" s="6"/>
    </row>
    <row r="9" spans="1:26" ht="14.4">
      <c r="A9" s="7">
        <v>1008</v>
      </c>
      <c r="B9" s="7" t="s">
        <v>54</v>
      </c>
      <c r="C9" s="7">
        <v>94</v>
      </c>
      <c r="D9" s="7">
        <v>67</v>
      </c>
      <c r="E9" s="7">
        <v>64</v>
      </c>
      <c r="F9" s="8">
        <v>44361</v>
      </c>
      <c r="G9" s="7">
        <f t="shared" si="0"/>
        <v>75</v>
      </c>
      <c r="H9" s="7" t="str">
        <f t="shared" si="1"/>
        <v>Distinction</v>
      </c>
      <c r="I9" s="7" t="str">
        <f t="shared" si="2"/>
        <v>B</v>
      </c>
      <c r="J9" s="7" t="str">
        <f t="shared" si="3"/>
        <v>Average</v>
      </c>
      <c r="K9" s="27" t="str">
        <f t="shared" si="4"/>
        <v>Student</v>
      </c>
      <c r="L9" s="26" t="str">
        <f t="shared" si="5"/>
        <v>STUDENT 8</v>
      </c>
      <c r="M9" s="26" t="str">
        <f t="shared" si="6"/>
        <v>student 8</v>
      </c>
      <c r="S9" s="6"/>
      <c r="T9" s="6"/>
      <c r="U9" s="6"/>
      <c r="V9" s="6"/>
      <c r="W9" s="6"/>
      <c r="X9" s="6"/>
      <c r="Y9" s="6"/>
      <c r="Z9" s="6"/>
    </row>
    <row r="10" spans="1:26" ht="14.4">
      <c r="A10" s="7">
        <v>1009</v>
      </c>
      <c r="B10" s="7" t="s">
        <v>55</v>
      </c>
      <c r="C10" s="7">
        <v>41</v>
      </c>
      <c r="D10" s="7">
        <v>75</v>
      </c>
      <c r="E10" s="7">
        <v>56</v>
      </c>
      <c r="F10" s="8">
        <v>44541</v>
      </c>
      <c r="G10" s="7">
        <f t="shared" si="0"/>
        <v>57.333333333333336</v>
      </c>
      <c r="H10" s="7" t="str">
        <f t="shared" si="1"/>
        <v>Pass</v>
      </c>
      <c r="I10" s="7" t="str">
        <f t="shared" si="2"/>
        <v>C</v>
      </c>
      <c r="J10" s="7" t="str">
        <f t="shared" si="3"/>
        <v>Average</v>
      </c>
      <c r="K10" s="27" t="str">
        <f t="shared" si="4"/>
        <v>Student</v>
      </c>
      <c r="L10" s="26" t="str">
        <f t="shared" si="5"/>
        <v>STUDENT 9</v>
      </c>
      <c r="M10" s="26" t="str">
        <f t="shared" si="6"/>
        <v>student 9</v>
      </c>
      <c r="S10" s="6"/>
      <c r="T10" s="6"/>
      <c r="U10" s="6"/>
      <c r="V10" s="6"/>
      <c r="W10" s="6"/>
      <c r="X10" s="6"/>
      <c r="Y10" s="6"/>
      <c r="Z10" s="6"/>
    </row>
    <row r="11" spans="1:26" ht="14.4">
      <c r="A11" s="7">
        <v>1010</v>
      </c>
      <c r="B11" s="7" t="s">
        <v>56</v>
      </c>
      <c r="C11" s="7">
        <v>98</v>
      </c>
      <c r="D11" s="7">
        <v>54</v>
      </c>
      <c r="E11" s="7">
        <v>58</v>
      </c>
      <c r="F11" s="8">
        <v>44721</v>
      </c>
      <c r="G11" s="7">
        <f t="shared" si="0"/>
        <v>70</v>
      </c>
      <c r="H11" s="7" t="str">
        <f t="shared" si="1"/>
        <v>Pass</v>
      </c>
      <c r="I11" s="7" t="str">
        <f t="shared" si="2"/>
        <v>B</v>
      </c>
      <c r="J11" s="7" t="str">
        <f t="shared" si="3"/>
        <v>Average</v>
      </c>
      <c r="K11" s="27" t="str">
        <f t="shared" si="4"/>
        <v>Student</v>
      </c>
      <c r="L11" s="26" t="str">
        <f t="shared" si="5"/>
        <v>STUDENT 10</v>
      </c>
      <c r="M11" s="26" t="str">
        <f t="shared" si="6"/>
        <v>student 10</v>
      </c>
      <c r="S11" s="6"/>
      <c r="T11" s="6"/>
      <c r="U11" s="6"/>
      <c r="V11" s="6"/>
      <c r="W11" s="6"/>
      <c r="X11" s="6"/>
      <c r="Y11" s="6"/>
      <c r="Z11" s="6"/>
    </row>
    <row r="12" spans="1:26" ht="14.4">
      <c r="A12" s="7">
        <v>1011</v>
      </c>
      <c r="B12" s="7" t="s">
        <v>57</v>
      </c>
      <c r="C12" s="7">
        <v>73</v>
      </c>
      <c r="D12" s="7">
        <v>79</v>
      </c>
      <c r="E12" s="7">
        <v>53</v>
      </c>
      <c r="F12" s="8">
        <v>44901</v>
      </c>
      <c r="G12" s="7">
        <f t="shared" si="0"/>
        <v>68.333333333333329</v>
      </c>
      <c r="H12" s="7" t="str">
        <f t="shared" si="1"/>
        <v>Pass</v>
      </c>
      <c r="I12" s="7" t="str">
        <f t="shared" si="2"/>
        <v>B</v>
      </c>
      <c r="J12" s="7" t="str">
        <f t="shared" si="3"/>
        <v>Average</v>
      </c>
      <c r="K12" s="27" t="str">
        <f t="shared" si="4"/>
        <v>Student</v>
      </c>
      <c r="L12" s="26" t="str">
        <f t="shared" si="5"/>
        <v>STUDENT 11</v>
      </c>
      <c r="M12" s="26" t="str">
        <f t="shared" si="6"/>
        <v>student 11</v>
      </c>
      <c r="S12" s="6"/>
      <c r="T12" s="6"/>
      <c r="U12" s="6"/>
      <c r="V12" s="6"/>
      <c r="W12" s="6"/>
      <c r="X12" s="6"/>
      <c r="Y12" s="6"/>
      <c r="Z12" s="6"/>
    </row>
    <row r="13" spans="1:26" ht="14.4">
      <c r="A13" s="7">
        <v>1012</v>
      </c>
      <c r="B13" s="7" t="s">
        <v>58</v>
      </c>
      <c r="C13" s="7">
        <v>85</v>
      </c>
      <c r="D13" s="7">
        <v>89</v>
      </c>
      <c r="E13" s="7">
        <v>79</v>
      </c>
      <c r="F13" s="8">
        <v>45081</v>
      </c>
      <c r="G13" s="7">
        <f t="shared" si="0"/>
        <v>84.333333333333329</v>
      </c>
      <c r="H13" s="7" t="str">
        <f t="shared" si="1"/>
        <v>Distinction</v>
      </c>
      <c r="I13" s="7" t="str">
        <f t="shared" si="2"/>
        <v>A</v>
      </c>
      <c r="J13" s="7" t="str">
        <f t="shared" si="3"/>
        <v>Average</v>
      </c>
      <c r="K13" s="27" t="str">
        <f t="shared" si="4"/>
        <v>Student</v>
      </c>
      <c r="L13" s="26" t="str">
        <f t="shared" si="5"/>
        <v>STUDENT 12</v>
      </c>
      <c r="M13" s="26" t="str">
        <f t="shared" si="6"/>
        <v>student 12</v>
      </c>
      <c r="S13" s="6"/>
      <c r="T13" s="6"/>
      <c r="U13" s="6"/>
      <c r="V13" s="6"/>
      <c r="W13" s="6"/>
      <c r="X13" s="6"/>
      <c r="Y13" s="6"/>
      <c r="Z13" s="6"/>
    </row>
    <row r="14" spans="1:26" ht="14.4">
      <c r="A14" s="7">
        <v>1013</v>
      </c>
      <c r="B14" s="7" t="s">
        <v>59</v>
      </c>
      <c r="C14" s="7">
        <v>98</v>
      </c>
      <c r="D14" s="7">
        <v>90</v>
      </c>
      <c r="E14" s="7">
        <v>97</v>
      </c>
      <c r="F14" s="8">
        <v>45261</v>
      </c>
      <c r="G14" s="7">
        <f t="shared" si="0"/>
        <v>95</v>
      </c>
      <c r="H14" s="7" t="str">
        <f t="shared" si="1"/>
        <v>Distinction</v>
      </c>
      <c r="I14" s="7" t="str">
        <f t="shared" si="2"/>
        <v>A</v>
      </c>
      <c r="J14" s="7" t="str">
        <f t="shared" si="3"/>
        <v>Top Performer</v>
      </c>
      <c r="K14" s="27" t="str">
        <f t="shared" si="4"/>
        <v>Student</v>
      </c>
      <c r="L14" s="26" t="str">
        <f t="shared" si="5"/>
        <v>STUDENT 13</v>
      </c>
      <c r="M14" s="26" t="str">
        <f t="shared" si="6"/>
        <v>student 13</v>
      </c>
      <c r="N14" s="6"/>
      <c r="O14" s="6"/>
      <c r="P14" s="6"/>
      <c r="Q14" s="6"/>
      <c r="R14" s="6"/>
      <c r="S14" s="6"/>
      <c r="T14" s="6"/>
      <c r="U14" s="6"/>
      <c r="V14" s="6"/>
      <c r="W14" s="6"/>
      <c r="X14" s="6"/>
      <c r="Y14" s="6"/>
      <c r="Z14" s="6"/>
    </row>
    <row r="15" spans="1:26" ht="14.4">
      <c r="A15" s="7">
        <v>1014</v>
      </c>
      <c r="B15" s="7" t="s">
        <v>60</v>
      </c>
      <c r="C15" s="7">
        <v>93</v>
      </c>
      <c r="D15" s="7">
        <v>40</v>
      </c>
      <c r="E15" s="7">
        <v>44</v>
      </c>
      <c r="F15" s="8">
        <v>45441</v>
      </c>
      <c r="G15" s="7">
        <f t="shared" si="0"/>
        <v>59</v>
      </c>
      <c r="H15" s="7" t="str">
        <f t="shared" si="1"/>
        <v>Pass</v>
      </c>
      <c r="I15" s="7" t="str">
        <f t="shared" si="2"/>
        <v>C</v>
      </c>
      <c r="J15" s="7" t="str">
        <f t="shared" si="3"/>
        <v>Average</v>
      </c>
      <c r="K15" s="27" t="str">
        <f t="shared" si="4"/>
        <v>Student</v>
      </c>
      <c r="L15" s="26" t="str">
        <f t="shared" si="5"/>
        <v>STUDENT 14</v>
      </c>
      <c r="M15" s="26" t="str">
        <f t="shared" si="6"/>
        <v>student 14</v>
      </c>
      <c r="N15" s="6"/>
      <c r="O15" s="6"/>
      <c r="P15" s="6"/>
      <c r="Q15" s="6"/>
      <c r="R15" s="6"/>
      <c r="S15" s="6"/>
      <c r="T15" s="6"/>
      <c r="U15" s="6"/>
      <c r="V15" s="6"/>
      <c r="W15" s="6"/>
      <c r="X15" s="6"/>
      <c r="Y15" s="6"/>
      <c r="Z15" s="6"/>
    </row>
    <row r="16" spans="1:26" ht="14.4">
      <c r="A16" s="7">
        <v>1015</v>
      </c>
      <c r="B16" s="7" t="s">
        <v>61</v>
      </c>
      <c r="C16" s="7">
        <v>70</v>
      </c>
      <c r="D16" s="7">
        <v>51</v>
      </c>
      <c r="E16" s="7">
        <v>75</v>
      </c>
      <c r="F16" s="8">
        <v>45621</v>
      </c>
      <c r="G16" s="7">
        <f t="shared" si="0"/>
        <v>65.333333333333329</v>
      </c>
      <c r="H16" s="7" t="str">
        <f t="shared" si="1"/>
        <v>Pass</v>
      </c>
      <c r="I16" s="7" t="str">
        <f t="shared" si="2"/>
        <v>B</v>
      </c>
      <c r="J16" s="7" t="str">
        <f t="shared" si="3"/>
        <v>Average</v>
      </c>
      <c r="K16" s="27" t="str">
        <f t="shared" si="4"/>
        <v>Student</v>
      </c>
      <c r="L16" s="26" t="str">
        <f t="shared" si="5"/>
        <v>STUDENT 15</v>
      </c>
      <c r="M16" s="26" t="str">
        <f t="shared" si="6"/>
        <v>student 15</v>
      </c>
      <c r="N16" s="6"/>
      <c r="O16" s="6"/>
      <c r="P16" s="6"/>
      <c r="Q16" s="6"/>
      <c r="R16" s="6"/>
      <c r="S16" s="6"/>
      <c r="T16" s="6"/>
      <c r="U16" s="6"/>
      <c r="V16" s="6"/>
      <c r="W16" s="6"/>
      <c r="X16" s="6"/>
      <c r="Y16" s="6"/>
      <c r="Z16" s="6"/>
    </row>
    <row r="17" spans="1:26" ht="14.4">
      <c r="A17" s="7">
        <v>1016</v>
      </c>
      <c r="B17" s="7" t="s">
        <v>62</v>
      </c>
      <c r="C17" s="7">
        <v>98</v>
      </c>
      <c r="D17" s="7">
        <v>77</v>
      </c>
      <c r="E17" s="7">
        <v>60</v>
      </c>
      <c r="F17" s="8">
        <v>45801</v>
      </c>
      <c r="G17" s="7">
        <f t="shared" si="0"/>
        <v>78.333333333333329</v>
      </c>
      <c r="H17" s="7" t="str">
        <f t="shared" si="1"/>
        <v>Distinction</v>
      </c>
      <c r="I17" s="7" t="str">
        <f t="shared" si="2"/>
        <v>B</v>
      </c>
      <c r="J17" s="7" t="str">
        <f t="shared" si="3"/>
        <v>Average</v>
      </c>
      <c r="K17" s="27" t="str">
        <f t="shared" si="4"/>
        <v>Student</v>
      </c>
      <c r="L17" s="26" t="str">
        <f t="shared" si="5"/>
        <v>STUDENT 16</v>
      </c>
      <c r="M17" s="26" t="str">
        <f t="shared" si="6"/>
        <v>student 16</v>
      </c>
      <c r="N17" s="6"/>
      <c r="O17" s="6"/>
      <c r="P17" s="6"/>
      <c r="Q17" s="6"/>
      <c r="R17" s="6"/>
      <c r="S17" s="6"/>
      <c r="T17" s="6"/>
      <c r="U17" s="6"/>
      <c r="V17" s="6"/>
      <c r="W17" s="6"/>
      <c r="X17" s="6"/>
      <c r="Y17" s="6"/>
      <c r="Z17" s="6"/>
    </row>
    <row r="18" spans="1:26" ht="14.4">
      <c r="A18" s="7">
        <v>1017</v>
      </c>
      <c r="B18" s="7" t="s">
        <v>63</v>
      </c>
      <c r="C18" s="7">
        <v>66</v>
      </c>
      <c r="D18" s="7">
        <v>59</v>
      </c>
      <c r="E18" s="7">
        <v>40</v>
      </c>
      <c r="F18" s="8">
        <v>45981</v>
      </c>
      <c r="G18" s="7">
        <f t="shared" si="0"/>
        <v>55</v>
      </c>
      <c r="H18" s="7" t="str">
        <f t="shared" si="1"/>
        <v>Pass</v>
      </c>
      <c r="I18" s="7" t="str">
        <f t="shared" si="2"/>
        <v>C</v>
      </c>
      <c r="J18" s="7" t="str">
        <f t="shared" si="3"/>
        <v>Average</v>
      </c>
      <c r="K18" s="27" t="str">
        <f t="shared" si="4"/>
        <v>Student</v>
      </c>
      <c r="L18" s="26" t="str">
        <f t="shared" si="5"/>
        <v>STUDENT 17</v>
      </c>
      <c r="M18" s="26" t="str">
        <f t="shared" si="6"/>
        <v>student 17</v>
      </c>
      <c r="N18" s="6"/>
      <c r="O18" s="6"/>
      <c r="P18" s="6"/>
      <c r="Q18" s="6"/>
      <c r="R18" s="6"/>
      <c r="S18" s="6"/>
      <c r="T18" s="6"/>
      <c r="U18" s="6"/>
      <c r="V18" s="6"/>
      <c r="W18" s="6"/>
      <c r="X18" s="6"/>
      <c r="Y18" s="6"/>
      <c r="Z18" s="6"/>
    </row>
    <row r="19" spans="1:26" ht="14.4">
      <c r="A19" s="7">
        <v>1018</v>
      </c>
      <c r="B19" s="7" t="s">
        <v>64</v>
      </c>
      <c r="C19" s="7">
        <v>82</v>
      </c>
      <c r="D19" s="7">
        <v>48</v>
      </c>
      <c r="E19" s="7">
        <v>79</v>
      </c>
      <c r="F19" s="8">
        <v>46161</v>
      </c>
      <c r="G19" s="7">
        <f t="shared" si="0"/>
        <v>69.666666666666671</v>
      </c>
      <c r="H19" s="7" t="str">
        <f t="shared" si="1"/>
        <v>Pass</v>
      </c>
      <c r="I19" s="7" t="str">
        <f t="shared" si="2"/>
        <v>B</v>
      </c>
      <c r="J19" s="7" t="str">
        <f t="shared" si="3"/>
        <v>Average</v>
      </c>
      <c r="K19" s="27" t="str">
        <f t="shared" si="4"/>
        <v>Student</v>
      </c>
      <c r="L19" s="26" t="str">
        <f t="shared" si="5"/>
        <v>STUDENT 18</v>
      </c>
      <c r="M19" s="26" t="str">
        <f t="shared" si="6"/>
        <v>student 18</v>
      </c>
      <c r="N19" s="6"/>
      <c r="O19" s="6"/>
      <c r="P19" s="6"/>
      <c r="Q19" s="6"/>
      <c r="R19" s="6"/>
      <c r="S19" s="6"/>
      <c r="T19" s="6"/>
      <c r="U19" s="6"/>
      <c r="V19" s="6"/>
      <c r="W19" s="6"/>
      <c r="X19" s="6"/>
      <c r="Y19" s="6"/>
      <c r="Z19" s="6"/>
    </row>
    <row r="20" spans="1:26" ht="14.4">
      <c r="A20" s="7">
        <v>1019</v>
      </c>
      <c r="B20" s="7" t="s">
        <v>65</v>
      </c>
      <c r="C20" s="7">
        <v>90</v>
      </c>
      <c r="D20" s="7">
        <v>78</v>
      </c>
      <c r="E20" s="7">
        <v>60</v>
      </c>
      <c r="F20" s="8">
        <v>46341</v>
      </c>
      <c r="G20" s="7">
        <f t="shared" si="0"/>
        <v>76</v>
      </c>
      <c r="H20" s="7" t="str">
        <f t="shared" si="1"/>
        <v>Distinction</v>
      </c>
      <c r="I20" s="7" t="str">
        <f t="shared" si="2"/>
        <v>B</v>
      </c>
      <c r="J20" s="7" t="str">
        <f t="shared" si="3"/>
        <v>Average</v>
      </c>
      <c r="K20" s="27" t="str">
        <f t="shared" si="4"/>
        <v>Student</v>
      </c>
      <c r="L20" s="26" t="str">
        <f t="shared" si="5"/>
        <v>STUDENT 19</v>
      </c>
      <c r="M20" s="26" t="str">
        <f t="shared" si="6"/>
        <v>student 19</v>
      </c>
      <c r="N20" s="6"/>
      <c r="O20" s="6"/>
      <c r="P20" s="6"/>
      <c r="Q20" s="6"/>
      <c r="R20" s="6"/>
      <c r="S20" s="6"/>
      <c r="T20" s="6"/>
      <c r="U20" s="6"/>
      <c r="V20" s="6"/>
      <c r="W20" s="6"/>
      <c r="X20" s="6"/>
      <c r="Y20" s="6"/>
      <c r="Z20" s="6"/>
    </row>
    <row r="21" spans="1:26" ht="15.75" customHeight="1">
      <c r="A21" s="7">
        <v>1020</v>
      </c>
      <c r="B21" s="7" t="s">
        <v>66</v>
      </c>
      <c r="C21" s="7">
        <v>83</v>
      </c>
      <c r="D21" s="7">
        <v>92</v>
      </c>
      <c r="E21" s="7">
        <v>55</v>
      </c>
      <c r="F21" s="8">
        <v>46521</v>
      </c>
      <c r="G21" s="7">
        <f t="shared" si="0"/>
        <v>76.666666666666671</v>
      </c>
      <c r="H21" s="7" t="str">
        <f t="shared" si="1"/>
        <v>Distinction</v>
      </c>
      <c r="I21" s="7" t="str">
        <f t="shared" si="2"/>
        <v>B</v>
      </c>
      <c r="J21" s="7" t="str">
        <f t="shared" si="3"/>
        <v>Average</v>
      </c>
      <c r="K21" s="27" t="str">
        <f t="shared" si="4"/>
        <v>Student</v>
      </c>
      <c r="L21" s="26" t="str">
        <f t="shared" si="5"/>
        <v>STUDENT 20</v>
      </c>
      <c r="M21" s="26" t="str">
        <f t="shared" si="6"/>
        <v>student 20</v>
      </c>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10"/>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31" t="s">
        <v>132</v>
      </c>
      <c r="C25" s="10">
        <f>COUNTIFS(C2:C21, "&gt;60", D2:D21, "&gt;60")</f>
        <v>10</v>
      </c>
      <c r="D25" s="6"/>
      <c r="E25" s="29" t="s">
        <v>41</v>
      </c>
      <c r="F25" s="29" t="s">
        <v>42</v>
      </c>
      <c r="G25" s="33" t="s">
        <v>152</v>
      </c>
      <c r="H25" s="6"/>
      <c r="I25" s="6"/>
      <c r="K25" s="6"/>
      <c r="L25" s="6"/>
      <c r="M25" s="6"/>
      <c r="N25" s="6"/>
      <c r="O25" s="6"/>
      <c r="P25" s="6"/>
      <c r="Q25" s="6"/>
      <c r="R25" s="6"/>
      <c r="S25" s="6"/>
      <c r="T25" s="6"/>
      <c r="U25" s="6"/>
      <c r="V25" s="6"/>
      <c r="W25" s="6"/>
      <c r="X25" s="6"/>
      <c r="Y25" s="6"/>
      <c r="Z25" s="6"/>
    </row>
    <row r="26" spans="1:26" ht="15.75" customHeight="1">
      <c r="A26" s="6"/>
      <c r="B26" s="29"/>
      <c r="C26" s="6"/>
      <c r="D26" s="6"/>
      <c r="E26" s="6">
        <v>1006</v>
      </c>
      <c r="F26" s="26" t="str">
        <f>VLOOKUP(E26, A2:B21, 2, 0)</f>
        <v>Student 6</v>
      </c>
      <c r="G26" s="32">
        <f ca="1">OFFSET(A1, 5, 2)</f>
        <v>68</v>
      </c>
      <c r="H26" s="6"/>
      <c r="I26" s="6"/>
      <c r="J26" s="6"/>
      <c r="K26" s="6"/>
      <c r="L26" s="6"/>
      <c r="M26" s="6"/>
      <c r="N26" s="6"/>
      <c r="O26" s="6"/>
      <c r="P26" s="6"/>
      <c r="Q26" s="6"/>
      <c r="R26" s="6"/>
      <c r="S26" s="6"/>
      <c r="T26" s="6"/>
      <c r="U26" s="6"/>
      <c r="V26" s="6"/>
      <c r="W26" s="6"/>
      <c r="X26" s="6"/>
      <c r="Y26" s="6"/>
      <c r="Z26" s="6"/>
    </row>
    <row r="27" spans="1:26" ht="15.75" customHeight="1">
      <c r="A27" s="6"/>
      <c r="B27" s="31"/>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29" t="s">
        <v>145</v>
      </c>
      <c r="C28" s="26">
        <f>COUNTIFS(C2:C21, "&gt;50")</f>
        <v>19</v>
      </c>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29"/>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29"/>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29" t="s">
        <v>146</v>
      </c>
      <c r="C31" s="26">
        <f>AVERAGEIFS(G2:G21, G2:G21, "&gt;60")</f>
        <v>73.625000000000014</v>
      </c>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ignoredErrors>
    <ignoredError sqref="G2 G3:G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L1" workbookViewId="0">
      <selection activeCell="P25" sqref="O20:P25"/>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12.44140625" style="19" customWidth="1"/>
    <col min="6" max="6" width="18.88671875" style="15" customWidth="1"/>
    <col min="7" max="7" width="13.109375" customWidth="1"/>
    <col min="8" max="8" width="11.21875" customWidth="1"/>
    <col min="10" max="10" width="15.77734375" bestFit="1" customWidth="1"/>
    <col min="11" max="11" width="11.88671875" bestFit="1" customWidth="1"/>
    <col min="12" max="12" width="19.5546875" bestFit="1" customWidth="1"/>
    <col min="13" max="13" width="18.6640625" bestFit="1" customWidth="1"/>
    <col min="14" max="14" width="11.5546875" customWidth="1"/>
    <col min="15" max="15" width="14.33203125" bestFit="1" customWidth="1"/>
    <col min="16" max="16" width="11.77734375" bestFit="1" customWidth="1"/>
    <col min="17" max="26" width="8.6640625" customWidth="1"/>
  </cols>
  <sheetData>
    <row r="1" spans="1:26" ht="14.4">
      <c r="A1" s="5" t="s">
        <v>67</v>
      </c>
      <c r="B1" s="5" t="s">
        <v>68</v>
      </c>
      <c r="C1" s="5" t="s">
        <v>69</v>
      </c>
      <c r="D1" s="5" t="s">
        <v>70</v>
      </c>
      <c r="E1" s="16" t="s">
        <v>71</v>
      </c>
      <c r="F1" s="12" t="s">
        <v>72</v>
      </c>
      <c r="G1" s="22" t="s">
        <v>141</v>
      </c>
      <c r="H1" s="22" t="s">
        <v>140</v>
      </c>
      <c r="I1" s="22" t="s">
        <v>142</v>
      </c>
      <c r="J1" s="22" t="s">
        <v>144</v>
      </c>
      <c r="K1" s="22" t="s">
        <v>149</v>
      </c>
      <c r="L1" s="22" t="s">
        <v>150</v>
      </c>
      <c r="M1" s="22" t="s">
        <v>151</v>
      </c>
      <c r="O1" s="35" t="s">
        <v>139</v>
      </c>
      <c r="P1" s="21">
        <v>0.18</v>
      </c>
      <c r="Q1" s="6"/>
      <c r="R1" s="6"/>
      <c r="S1" s="6"/>
      <c r="T1" s="6"/>
      <c r="U1" s="6"/>
      <c r="V1" s="6"/>
      <c r="W1" s="6"/>
      <c r="X1" s="6"/>
      <c r="Y1" s="6"/>
      <c r="Z1" s="6"/>
    </row>
    <row r="2" spans="1:26" ht="14.4">
      <c r="A2" s="7">
        <v>2001</v>
      </c>
      <c r="B2" s="7" t="s">
        <v>73</v>
      </c>
      <c r="C2" s="7" t="s">
        <v>74</v>
      </c>
      <c r="D2" s="7" t="s">
        <v>75</v>
      </c>
      <c r="E2" s="17">
        <v>7048</v>
      </c>
      <c r="F2" s="20">
        <v>44927</v>
      </c>
      <c r="G2" s="23">
        <f t="shared" ref="G2:G21" si="0">E2 * 10%</f>
        <v>704.80000000000007</v>
      </c>
      <c r="H2" s="23">
        <f>E2*$P$1</f>
        <v>1268.6399999999999</v>
      </c>
      <c r="I2" s="25" t="str">
        <f>IF(E2&gt;35000, E2*10%, IF(E2&gt;10000, E2*5%, "No Discount"))</f>
        <v>No Discount</v>
      </c>
      <c r="J2" s="24" t="str">
        <f>IF(OR(B2="Laptop", E2&gt;35000), "Eligible", "No Discount")</f>
        <v>No Discount</v>
      </c>
      <c r="K2" s="30">
        <f>ROUND(E2, 0)</f>
        <v>7048</v>
      </c>
      <c r="L2">
        <f>CEILING(E2, 10)</f>
        <v>7050</v>
      </c>
      <c r="M2">
        <f>FLOOR(E2, 10)</f>
        <v>7040</v>
      </c>
      <c r="O2" s="6"/>
      <c r="P2" s="6"/>
      <c r="Q2" s="6"/>
      <c r="R2" s="6"/>
      <c r="S2" s="6"/>
      <c r="T2" s="6"/>
      <c r="U2" s="6"/>
      <c r="V2" s="6"/>
      <c r="W2" s="6"/>
      <c r="X2" s="6"/>
      <c r="Y2" s="6"/>
      <c r="Z2" s="6"/>
    </row>
    <row r="3" spans="1:26" ht="14.4">
      <c r="A3" s="7">
        <v>2002</v>
      </c>
      <c r="B3" s="7" t="s">
        <v>76</v>
      </c>
      <c r="C3" s="7" t="s">
        <v>77</v>
      </c>
      <c r="D3" s="7" t="s">
        <v>78</v>
      </c>
      <c r="E3" s="17">
        <v>17428</v>
      </c>
      <c r="F3" s="20">
        <v>44942</v>
      </c>
      <c r="G3" s="23">
        <f t="shared" si="0"/>
        <v>1742.8000000000002</v>
      </c>
      <c r="H3" s="23">
        <f>E3*$P$1</f>
        <v>3137.04</v>
      </c>
      <c r="I3" s="25">
        <f t="shared" ref="I3:I21" si="1">IF(E3&gt;35000, E3*10%, IF(E3&gt;10000, E3*5%, "No Discount"))</f>
        <v>871.40000000000009</v>
      </c>
      <c r="J3" s="24" t="str">
        <f t="shared" ref="J3:J21" si="2">IF(OR(B3="Laptop", E3&gt;35000), "Eligible", "No Discount")</f>
        <v>No Discount</v>
      </c>
      <c r="K3" s="30">
        <f t="shared" ref="K3:K21" si="3">ROUND(E3, 0)</f>
        <v>17428</v>
      </c>
      <c r="L3">
        <f t="shared" ref="L3:L21" si="4">CEILING(E3, 10)</f>
        <v>17430</v>
      </c>
      <c r="M3">
        <f t="shared" ref="M3:M21" si="5">FLOOR(E3, 10)</f>
        <v>17420</v>
      </c>
      <c r="O3" s="6"/>
      <c r="P3" s="6"/>
      <c r="Q3" s="6"/>
      <c r="R3" s="6"/>
      <c r="S3" s="6"/>
      <c r="T3" s="6"/>
      <c r="U3" s="6"/>
      <c r="V3" s="6"/>
      <c r="W3" s="6"/>
      <c r="X3" s="6"/>
      <c r="Y3" s="6"/>
      <c r="Z3" s="6"/>
    </row>
    <row r="4" spans="1:26" ht="14.4">
      <c r="A4" s="7">
        <v>2003</v>
      </c>
      <c r="B4" s="7" t="s">
        <v>79</v>
      </c>
      <c r="C4" s="7" t="s">
        <v>74</v>
      </c>
      <c r="D4" s="7" t="s">
        <v>80</v>
      </c>
      <c r="E4" s="17">
        <v>23672</v>
      </c>
      <c r="F4" s="20">
        <v>44957</v>
      </c>
      <c r="G4" s="23">
        <f t="shared" si="0"/>
        <v>2367.2000000000003</v>
      </c>
      <c r="H4" s="23">
        <f>E4*$P$1</f>
        <v>4260.96</v>
      </c>
      <c r="I4" s="25">
        <f t="shared" si="1"/>
        <v>1183.6000000000001</v>
      </c>
      <c r="J4" s="24" t="str">
        <f t="shared" si="2"/>
        <v>No Discount</v>
      </c>
      <c r="K4" s="30">
        <f t="shared" si="3"/>
        <v>23672</v>
      </c>
      <c r="L4">
        <f t="shared" si="4"/>
        <v>23680</v>
      </c>
      <c r="M4">
        <f t="shared" si="5"/>
        <v>23670</v>
      </c>
      <c r="O4" s="11" t="s">
        <v>135</v>
      </c>
      <c r="P4" s="6"/>
      <c r="Q4" s="6"/>
      <c r="R4" s="6"/>
      <c r="S4" s="6"/>
      <c r="T4" s="6"/>
      <c r="U4" s="6"/>
      <c r="V4" s="6"/>
      <c r="W4" s="6"/>
      <c r="X4" s="6"/>
      <c r="Y4" s="6"/>
      <c r="Z4" s="6"/>
    </row>
    <row r="5" spans="1:26" ht="14.4">
      <c r="A5" s="7">
        <v>2004</v>
      </c>
      <c r="B5" s="7" t="s">
        <v>76</v>
      </c>
      <c r="C5" s="7" t="s">
        <v>81</v>
      </c>
      <c r="D5" s="7" t="s">
        <v>82</v>
      </c>
      <c r="E5" s="17">
        <v>5264</v>
      </c>
      <c r="F5" s="20">
        <v>44972</v>
      </c>
      <c r="G5" s="23">
        <f t="shared" si="0"/>
        <v>526.4</v>
      </c>
      <c r="H5" s="23">
        <f>E5*$P$1</f>
        <v>947.52</v>
      </c>
      <c r="I5" s="25" t="str">
        <f t="shared" si="1"/>
        <v>No Discount</v>
      </c>
      <c r="J5" s="24" t="str">
        <f t="shared" si="2"/>
        <v>No Discount</v>
      </c>
      <c r="K5" s="30">
        <f t="shared" si="3"/>
        <v>5264</v>
      </c>
      <c r="L5">
        <f t="shared" si="4"/>
        <v>5270</v>
      </c>
      <c r="M5">
        <f t="shared" si="5"/>
        <v>5260</v>
      </c>
      <c r="O5" s="10" t="s">
        <v>133</v>
      </c>
      <c r="P5" s="10" t="s">
        <v>134</v>
      </c>
      <c r="Q5" s="6"/>
      <c r="R5" s="6"/>
      <c r="S5" s="6"/>
      <c r="T5" s="6"/>
      <c r="U5" s="6"/>
      <c r="V5" s="6"/>
      <c r="W5" s="6"/>
      <c r="X5" s="6"/>
      <c r="Y5" s="6"/>
      <c r="Z5" s="6"/>
    </row>
    <row r="6" spans="1:26" ht="14.4">
      <c r="A6" s="7">
        <v>2005</v>
      </c>
      <c r="B6" s="7" t="s">
        <v>73</v>
      </c>
      <c r="C6" s="7" t="s">
        <v>83</v>
      </c>
      <c r="D6" s="7" t="s">
        <v>84</v>
      </c>
      <c r="E6" s="17">
        <v>43388</v>
      </c>
      <c r="F6" s="20">
        <v>44987</v>
      </c>
      <c r="G6" s="23">
        <f t="shared" si="0"/>
        <v>4338.8</v>
      </c>
      <c r="H6" s="23">
        <f>E6*$P$1</f>
        <v>7809.84</v>
      </c>
      <c r="I6" s="25">
        <f t="shared" si="1"/>
        <v>4338.8</v>
      </c>
      <c r="J6" s="24" t="str">
        <f t="shared" si="2"/>
        <v>Eligible</v>
      </c>
      <c r="K6" s="30">
        <f t="shared" si="3"/>
        <v>43388</v>
      </c>
      <c r="L6">
        <f t="shared" si="4"/>
        <v>43390</v>
      </c>
      <c r="M6">
        <f t="shared" si="5"/>
        <v>43380</v>
      </c>
      <c r="O6" s="10">
        <v>2010</v>
      </c>
      <c r="P6" s="10">
        <f>VLOOKUP(O6, A1:F21, 5, FALSE)</f>
        <v>35185</v>
      </c>
      <c r="Q6" s="6"/>
      <c r="R6" s="6"/>
      <c r="S6" s="6"/>
      <c r="T6" s="6"/>
      <c r="U6" s="6"/>
      <c r="V6" s="6"/>
      <c r="W6" s="6"/>
      <c r="X6" s="6"/>
      <c r="Y6" s="6"/>
      <c r="Z6" s="6"/>
    </row>
    <row r="7" spans="1:26" ht="14.4">
      <c r="A7" s="7">
        <v>2006</v>
      </c>
      <c r="B7" s="7" t="s">
        <v>79</v>
      </c>
      <c r="C7" s="7" t="s">
        <v>83</v>
      </c>
      <c r="D7" s="7" t="s">
        <v>85</v>
      </c>
      <c r="E7" s="17">
        <v>19757</v>
      </c>
      <c r="F7" s="20">
        <v>45002</v>
      </c>
      <c r="G7" s="23">
        <f t="shared" si="0"/>
        <v>1975.7</v>
      </c>
      <c r="H7" s="23">
        <f>E7*$P$1</f>
        <v>3556.2599999999998</v>
      </c>
      <c r="I7" s="25">
        <f t="shared" si="1"/>
        <v>987.85</v>
      </c>
      <c r="J7" s="24" t="str">
        <f t="shared" si="2"/>
        <v>No Discount</v>
      </c>
      <c r="K7" s="30">
        <f t="shared" si="3"/>
        <v>19757</v>
      </c>
      <c r="L7">
        <f t="shared" si="4"/>
        <v>19760</v>
      </c>
      <c r="M7">
        <f t="shared" si="5"/>
        <v>19750</v>
      </c>
      <c r="O7" s="6"/>
      <c r="P7" s="6"/>
      <c r="Q7" s="6"/>
      <c r="R7" s="6"/>
      <c r="S7" s="6"/>
      <c r="T7" s="6"/>
      <c r="U7" s="6"/>
      <c r="V7" s="6"/>
      <c r="W7" s="6"/>
      <c r="X7" s="6"/>
      <c r="Y7" s="6"/>
      <c r="Z7" s="6"/>
    </row>
    <row r="8" spans="1:26" ht="14.4">
      <c r="A8" s="7">
        <v>2007</v>
      </c>
      <c r="B8" s="7" t="s">
        <v>79</v>
      </c>
      <c r="C8" s="7" t="s">
        <v>81</v>
      </c>
      <c r="D8" s="7" t="s">
        <v>86</v>
      </c>
      <c r="E8" s="17">
        <v>32058</v>
      </c>
      <c r="F8" s="20">
        <v>45017</v>
      </c>
      <c r="G8" s="23">
        <f t="shared" si="0"/>
        <v>3205.8</v>
      </c>
      <c r="H8" s="23">
        <f>E8*$P$1</f>
        <v>5770.44</v>
      </c>
      <c r="I8" s="25">
        <f t="shared" si="1"/>
        <v>1602.9</v>
      </c>
      <c r="J8" s="24" t="str">
        <f t="shared" si="2"/>
        <v>No Discount</v>
      </c>
      <c r="K8" s="30">
        <f t="shared" si="3"/>
        <v>32058</v>
      </c>
      <c r="L8">
        <f t="shared" si="4"/>
        <v>32060</v>
      </c>
      <c r="M8">
        <f t="shared" si="5"/>
        <v>32050</v>
      </c>
      <c r="O8" s="6"/>
      <c r="P8" s="6"/>
      <c r="Q8" s="6"/>
      <c r="R8" s="6"/>
      <c r="S8" s="6"/>
      <c r="T8" s="6"/>
      <c r="U8" s="6"/>
      <c r="V8" s="6"/>
      <c r="W8" s="6"/>
      <c r="X8" s="6"/>
      <c r="Y8" s="6"/>
      <c r="Z8" s="6"/>
    </row>
    <row r="9" spans="1:26" ht="14.4">
      <c r="A9" s="7">
        <v>2008</v>
      </c>
      <c r="B9" s="7" t="s">
        <v>73</v>
      </c>
      <c r="C9" s="7" t="s">
        <v>81</v>
      </c>
      <c r="D9" s="7" t="s">
        <v>87</v>
      </c>
      <c r="E9" s="17">
        <v>46429</v>
      </c>
      <c r="F9" s="20">
        <v>45032</v>
      </c>
      <c r="G9" s="23">
        <f t="shared" si="0"/>
        <v>4642.9000000000005</v>
      </c>
      <c r="H9" s="23">
        <f>E9*$P$1</f>
        <v>8357.2199999999993</v>
      </c>
      <c r="I9" s="25">
        <f t="shared" si="1"/>
        <v>4642.9000000000005</v>
      </c>
      <c r="J9" s="24" t="str">
        <f t="shared" si="2"/>
        <v>Eligible</v>
      </c>
      <c r="K9" s="30">
        <f t="shared" si="3"/>
        <v>46429</v>
      </c>
      <c r="L9">
        <f t="shared" si="4"/>
        <v>46430</v>
      </c>
      <c r="M9">
        <f t="shared" si="5"/>
        <v>46420</v>
      </c>
      <c r="O9" s="27" t="s">
        <v>68</v>
      </c>
      <c r="P9" s="28" t="s">
        <v>69</v>
      </c>
      <c r="Q9" s="28" t="s">
        <v>71</v>
      </c>
      <c r="R9" s="6"/>
      <c r="S9" s="6"/>
      <c r="T9" s="6"/>
      <c r="U9" s="6"/>
      <c r="V9" s="6"/>
      <c r="W9" s="6"/>
      <c r="X9" s="6"/>
      <c r="Y9" s="6"/>
      <c r="Z9" s="6"/>
    </row>
    <row r="10" spans="1:26" ht="14.4">
      <c r="A10" s="7">
        <v>2009</v>
      </c>
      <c r="B10" s="7" t="s">
        <v>76</v>
      </c>
      <c r="C10" s="7" t="s">
        <v>81</v>
      </c>
      <c r="D10" s="7" t="s">
        <v>88</v>
      </c>
      <c r="E10" s="17">
        <v>19746</v>
      </c>
      <c r="F10" s="20">
        <v>45047</v>
      </c>
      <c r="G10" s="23">
        <f t="shared" si="0"/>
        <v>1974.6000000000001</v>
      </c>
      <c r="H10" s="23">
        <f>E10*$P$1</f>
        <v>3554.2799999999997</v>
      </c>
      <c r="I10" s="25">
        <f t="shared" si="1"/>
        <v>987.30000000000007</v>
      </c>
      <c r="J10" s="24" t="str">
        <f t="shared" si="2"/>
        <v>No Discount</v>
      </c>
      <c r="K10" s="30">
        <f t="shared" si="3"/>
        <v>19746</v>
      </c>
      <c r="L10">
        <f t="shared" si="4"/>
        <v>19750</v>
      </c>
      <c r="M10">
        <f t="shared" si="5"/>
        <v>19740</v>
      </c>
      <c r="O10" s="28" t="s">
        <v>73</v>
      </c>
      <c r="P10" s="28" t="s">
        <v>74</v>
      </c>
      <c r="Q10" s="6">
        <f>SUMIFS(E2:E41, B2:B41, O10, C2:C41, P10)</f>
        <v>42233</v>
      </c>
      <c r="R10" s="6"/>
      <c r="S10" s="6"/>
      <c r="T10" s="6"/>
      <c r="U10" s="6"/>
      <c r="V10" s="6"/>
      <c r="W10" s="6"/>
      <c r="X10" s="6"/>
      <c r="Y10" s="6"/>
      <c r="Z10" s="6"/>
    </row>
    <row r="11" spans="1:26" ht="14.4">
      <c r="A11" s="7">
        <v>2010</v>
      </c>
      <c r="B11" s="7" t="s">
        <v>73</v>
      </c>
      <c r="C11" s="7" t="s">
        <v>74</v>
      </c>
      <c r="D11" s="7" t="s">
        <v>89</v>
      </c>
      <c r="E11" s="17">
        <v>35185</v>
      </c>
      <c r="F11" s="20">
        <v>45062</v>
      </c>
      <c r="G11" s="23">
        <f t="shared" si="0"/>
        <v>3518.5</v>
      </c>
      <c r="H11" s="23">
        <f>E11*$P$1</f>
        <v>6333.3</v>
      </c>
      <c r="I11" s="25">
        <f t="shared" si="1"/>
        <v>3518.5</v>
      </c>
      <c r="J11" s="24" t="str">
        <f t="shared" si="2"/>
        <v>Eligible</v>
      </c>
      <c r="K11" s="30">
        <f t="shared" si="3"/>
        <v>35185</v>
      </c>
      <c r="L11">
        <f t="shared" si="4"/>
        <v>35190</v>
      </c>
      <c r="M11">
        <f t="shared" si="5"/>
        <v>35180</v>
      </c>
      <c r="O11" s="6"/>
      <c r="P11" s="6"/>
      <c r="Q11" s="6"/>
      <c r="R11" s="6"/>
      <c r="S11" s="6"/>
      <c r="T11" s="6"/>
      <c r="U11" s="6"/>
      <c r="V11" s="6"/>
      <c r="W11" s="6"/>
      <c r="X11" s="6"/>
      <c r="Y11" s="6"/>
      <c r="Z11" s="6"/>
    </row>
    <row r="12" spans="1:26" ht="14.4">
      <c r="A12" s="7">
        <v>2011</v>
      </c>
      <c r="B12" s="7" t="s">
        <v>73</v>
      </c>
      <c r="C12" s="7" t="s">
        <v>81</v>
      </c>
      <c r="D12" s="7" t="s">
        <v>90</v>
      </c>
      <c r="E12" s="17">
        <v>33920</v>
      </c>
      <c r="F12" s="20">
        <v>45077</v>
      </c>
      <c r="G12" s="23">
        <f t="shared" si="0"/>
        <v>3392</v>
      </c>
      <c r="H12" s="23">
        <f>E12*$P$1</f>
        <v>6105.5999999999995</v>
      </c>
      <c r="I12" s="25">
        <f t="shared" si="1"/>
        <v>1696</v>
      </c>
      <c r="J12" s="24" t="str">
        <f t="shared" si="2"/>
        <v>No Discount</v>
      </c>
      <c r="K12" s="30">
        <f t="shared" si="3"/>
        <v>33920</v>
      </c>
      <c r="L12">
        <f t="shared" si="4"/>
        <v>33920</v>
      </c>
      <c r="M12">
        <f t="shared" si="5"/>
        <v>33920</v>
      </c>
      <c r="O12" s="6"/>
      <c r="P12" s="6"/>
      <c r="Q12" s="6"/>
      <c r="R12" s="6"/>
      <c r="S12" s="6"/>
      <c r="T12" s="6"/>
      <c r="U12" s="6"/>
      <c r="V12" s="6"/>
      <c r="W12" s="6"/>
      <c r="X12" s="6"/>
      <c r="Y12" s="6"/>
      <c r="Z12" s="6"/>
    </row>
    <row r="13" spans="1:26" ht="14.4">
      <c r="A13" s="7">
        <v>2012</v>
      </c>
      <c r="B13" s="7" t="s">
        <v>91</v>
      </c>
      <c r="C13" s="7" t="s">
        <v>83</v>
      </c>
      <c r="D13" s="7" t="s">
        <v>92</v>
      </c>
      <c r="E13" s="17">
        <v>35611</v>
      </c>
      <c r="F13" s="20">
        <v>45092</v>
      </c>
      <c r="G13" s="23">
        <f t="shared" si="0"/>
        <v>3561.1000000000004</v>
      </c>
      <c r="H13" s="23">
        <f>E13*$P$1</f>
        <v>6409.98</v>
      </c>
      <c r="I13" s="25">
        <f t="shared" si="1"/>
        <v>3561.1000000000004</v>
      </c>
      <c r="J13" s="24" t="str">
        <f t="shared" si="2"/>
        <v>Eligible</v>
      </c>
      <c r="K13" s="30">
        <f t="shared" si="3"/>
        <v>35611</v>
      </c>
      <c r="L13">
        <f t="shared" si="4"/>
        <v>35620</v>
      </c>
      <c r="M13">
        <f t="shared" si="5"/>
        <v>35610</v>
      </c>
      <c r="O13" s="27" t="s">
        <v>67</v>
      </c>
      <c r="P13" s="28" t="s">
        <v>147</v>
      </c>
      <c r="Q13" s="28" t="s">
        <v>148</v>
      </c>
      <c r="R13" s="6"/>
      <c r="S13" s="6"/>
      <c r="T13" s="6"/>
      <c r="U13" s="6"/>
      <c r="V13" s="6"/>
      <c r="W13" s="6"/>
      <c r="X13" s="6"/>
      <c r="Y13" s="6"/>
      <c r="Z13" s="6"/>
    </row>
    <row r="14" spans="1:26" ht="14.4">
      <c r="A14" s="7">
        <v>2013</v>
      </c>
      <c r="B14" s="7" t="s">
        <v>93</v>
      </c>
      <c r="C14" s="7" t="s">
        <v>81</v>
      </c>
      <c r="D14" s="7" t="s">
        <v>94</v>
      </c>
      <c r="E14" s="17">
        <v>15560</v>
      </c>
      <c r="F14" s="20">
        <v>45107</v>
      </c>
      <c r="G14" s="23">
        <f t="shared" si="0"/>
        <v>1556</v>
      </c>
      <c r="H14" s="23">
        <f>E14*$P$1</f>
        <v>2800.7999999999997</v>
      </c>
      <c r="I14" s="25">
        <f t="shared" si="1"/>
        <v>778</v>
      </c>
      <c r="J14" s="24" t="str">
        <f t="shared" si="2"/>
        <v>Eligible</v>
      </c>
      <c r="K14" s="30">
        <f t="shared" si="3"/>
        <v>15560</v>
      </c>
      <c r="L14">
        <f t="shared" si="4"/>
        <v>15560</v>
      </c>
      <c r="M14">
        <f t="shared" si="5"/>
        <v>15560</v>
      </c>
      <c r="O14">
        <v>2011</v>
      </c>
      <c r="P14" s="28" t="s">
        <v>73</v>
      </c>
      <c r="Q14" s="26">
        <f t="array" ref="Q14">INDEX(E2:E41, MATCH(1, (A2:A41=O14)*(B2:B41=P14), 0))</f>
        <v>33920</v>
      </c>
      <c r="R14" s="6"/>
      <c r="S14" s="6"/>
      <c r="T14" s="6"/>
      <c r="U14" s="6"/>
      <c r="V14" s="6"/>
      <c r="W14" s="6"/>
      <c r="X14" s="6"/>
      <c r="Y14" s="6"/>
      <c r="Z14" s="6"/>
    </row>
    <row r="15" spans="1:26" ht="14.4">
      <c r="A15" s="7">
        <v>2014</v>
      </c>
      <c r="B15" s="7" t="s">
        <v>93</v>
      </c>
      <c r="C15" s="7" t="s">
        <v>74</v>
      </c>
      <c r="D15" s="7" t="s">
        <v>95</v>
      </c>
      <c r="E15" s="17">
        <v>7283</v>
      </c>
      <c r="F15" s="20">
        <v>45122</v>
      </c>
      <c r="G15" s="23">
        <f t="shared" si="0"/>
        <v>728.30000000000007</v>
      </c>
      <c r="H15" s="23">
        <f>E15*$P$1</f>
        <v>1310.94</v>
      </c>
      <c r="I15" s="25" t="str">
        <f t="shared" si="1"/>
        <v>No Discount</v>
      </c>
      <c r="J15" s="24" t="str">
        <f t="shared" si="2"/>
        <v>Eligible</v>
      </c>
      <c r="K15" s="30">
        <f t="shared" si="3"/>
        <v>7283</v>
      </c>
      <c r="L15">
        <f t="shared" si="4"/>
        <v>7290</v>
      </c>
      <c r="M15">
        <f t="shared" si="5"/>
        <v>7280</v>
      </c>
      <c r="O15" s="6"/>
      <c r="P15" s="6"/>
      <c r="Q15" s="6"/>
      <c r="R15" s="6"/>
      <c r="S15" s="6"/>
      <c r="T15" s="6"/>
      <c r="U15" s="6"/>
      <c r="V15" s="6"/>
      <c r="W15" s="6"/>
      <c r="X15" s="6"/>
      <c r="Y15" s="6"/>
      <c r="Z15" s="6"/>
    </row>
    <row r="16" spans="1:26" ht="14.4">
      <c r="A16" s="7">
        <v>2015</v>
      </c>
      <c r="B16" s="7" t="s">
        <v>93</v>
      </c>
      <c r="C16" s="7" t="s">
        <v>81</v>
      </c>
      <c r="D16" s="7" t="s">
        <v>96</v>
      </c>
      <c r="E16" s="17">
        <v>15678</v>
      </c>
      <c r="F16" s="20">
        <v>45137</v>
      </c>
      <c r="G16" s="23">
        <f t="shared" si="0"/>
        <v>1567.8000000000002</v>
      </c>
      <c r="H16" s="23">
        <f>E16*$P$1</f>
        <v>2822.04</v>
      </c>
      <c r="I16" s="25">
        <f t="shared" si="1"/>
        <v>783.90000000000009</v>
      </c>
      <c r="J16" s="24" t="str">
        <f t="shared" si="2"/>
        <v>Eligible</v>
      </c>
      <c r="K16" s="30">
        <f t="shared" si="3"/>
        <v>15678</v>
      </c>
      <c r="L16">
        <f t="shared" si="4"/>
        <v>15680</v>
      </c>
      <c r="M16">
        <f t="shared" si="5"/>
        <v>15670</v>
      </c>
      <c r="N16" s="6"/>
      <c r="O16" s="6"/>
      <c r="P16" s="26"/>
      <c r="Q16" s="6"/>
      <c r="R16" s="6"/>
      <c r="S16" s="6"/>
      <c r="T16" s="6"/>
      <c r="U16" s="6"/>
      <c r="V16" s="6"/>
      <c r="W16" s="6"/>
      <c r="X16" s="6"/>
      <c r="Y16" s="6"/>
      <c r="Z16" s="6"/>
    </row>
    <row r="17" spans="1:26" ht="14.4">
      <c r="A17" s="7">
        <v>2016</v>
      </c>
      <c r="B17" s="7" t="s">
        <v>79</v>
      </c>
      <c r="C17" s="7" t="s">
        <v>81</v>
      </c>
      <c r="D17" s="7" t="s">
        <v>97</v>
      </c>
      <c r="E17" s="17">
        <v>5277</v>
      </c>
      <c r="F17" s="20">
        <v>45152</v>
      </c>
      <c r="G17" s="23">
        <f t="shared" si="0"/>
        <v>527.70000000000005</v>
      </c>
      <c r="H17" s="23">
        <f>E17*$P$1</f>
        <v>949.86</v>
      </c>
      <c r="I17" s="25" t="str">
        <f t="shared" si="1"/>
        <v>No Discount</v>
      </c>
      <c r="J17" s="24" t="str">
        <f t="shared" si="2"/>
        <v>No Discount</v>
      </c>
      <c r="K17" s="30">
        <f t="shared" si="3"/>
        <v>5277</v>
      </c>
      <c r="L17">
        <f t="shared" si="4"/>
        <v>5280</v>
      </c>
      <c r="M17">
        <f t="shared" si="5"/>
        <v>5270</v>
      </c>
      <c r="N17" s="6"/>
      <c r="O17" t="s">
        <v>70</v>
      </c>
      <c r="P17" s="6" t="s">
        <v>71</v>
      </c>
      <c r="Q17" s="6"/>
      <c r="R17" s="6"/>
      <c r="S17" s="6"/>
      <c r="T17" s="6"/>
      <c r="U17" s="6"/>
      <c r="V17" s="6"/>
      <c r="W17" s="6"/>
      <c r="X17" s="6"/>
      <c r="Y17" s="6"/>
      <c r="Z17" s="6"/>
    </row>
    <row r="18" spans="1:26" ht="14.4">
      <c r="A18" s="7">
        <v>2017</v>
      </c>
      <c r="B18" s="7" t="s">
        <v>91</v>
      </c>
      <c r="C18" s="7" t="s">
        <v>83</v>
      </c>
      <c r="D18" s="7" t="s">
        <v>98</v>
      </c>
      <c r="E18" s="17">
        <v>41871</v>
      </c>
      <c r="F18" s="20">
        <v>45167</v>
      </c>
      <c r="G18" s="23">
        <f t="shared" si="0"/>
        <v>4187.1000000000004</v>
      </c>
      <c r="H18" s="23">
        <f>E18*$P$1</f>
        <v>7536.78</v>
      </c>
      <c r="I18" s="25">
        <f t="shared" si="1"/>
        <v>4187.1000000000004</v>
      </c>
      <c r="J18" s="24" t="str">
        <f t="shared" si="2"/>
        <v>Eligible</v>
      </c>
      <c r="K18" s="30">
        <f t="shared" si="3"/>
        <v>41871</v>
      </c>
      <c r="L18">
        <f t="shared" si="4"/>
        <v>41880</v>
      </c>
      <c r="M18">
        <f t="shared" si="5"/>
        <v>41870</v>
      </c>
      <c r="N18" s="6"/>
      <c r="O18" s="6" t="s">
        <v>75</v>
      </c>
      <c r="P18">
        <f>INDEX(E2:E41, MATCH(O18, D2:D41, 0))</f>
        <v>7048</v>
      </c>
      <c r="Q18" s="6"/>
      <c r="R18" s="6"/>
      <c r="S18" s="6"/>
      <c r="T18" s="6"/>
      <c r="U18" s="6"/>
      <c r="V18" s="6"/>
      <c r="W18" s="6"/>
      <c r="X18" s="6"/>
      <c r="Y18" s="6"/>
      <c r="Z18" s="6"/>
    </row>
    <row r="19" spans="1:26" ht="14.4">
      <c r="A19" s="7">
        <v>2018</v>
      </c>
      <c r="B19" s="7" t="s">
        <v>91</v>
      </c>
      <c r="C19" s="7" t="s">
        <v>77</v>
      </c>
      <c r="D19" s="7" t="s">
        <v>99</v>
      </c>
      <c r="E19" s="17">
        <v>38161</v>
      </c>
      <c r="F19" s="20">
        <v>45182</v>
      </c>
      <c r="G19" s="23">
        <f t="shared" si="0"/>
        <v>3816.1000000000004</v>
      </c>
      <c r="H19" s="23">
        <f>E19*$P$1</f>
        <v>6868.98</v>
      </c>
      <c r="I19" s="25">
        <f t="shared" si="1"/>
        <v>3816.1000000000004</v>
      </c>
      <c r="J19" s="24" t="str">
        <f t="shared" si="2"/>
        <v>Eligible</v>
      </c>
      <c r="K19" s="30">
        <f t="shared" si="3"/>
        <v>38161</v>
      </c>
      <c r="L19">
        <f t="shared" si="4"/>
        <v>38170</v>
      </c>
      <c r="M19">
        <f t="shared" si="5"/>
        <v>38160</v>
      </c>
      <c r="N19" s="6"/>
      <c r="O19" s="6"/>
      <c r="P19" s="6"/>
      <c r="Q19" s="6"/>
      <c r="R19" s="6"/>
      <c r="S19" s="6"/>
      <c r="T19" s="6"/>
      <c r="U19" s="6"/>
      <c r="V19" s="6"/>
      <c r="W19" s="6"/>
      <c r="X19" s="6"/>
      <c r="Y19" s="6"/>
      <c r="Z19" s="6"/>
    </row>
    <row r="20" spans="1:26" ht="14.4">
      <c r="A20" s="7">
        <v>2019</v>
      </c>
      <c r="B20" s="7" t="s">
        <v>79</v>
      </c>
      <c r="C20" s="7" t="s">
        <v>77</v>
      </c>
      <c r="D20" s="7" t="s">
        <v>100</v>
      </c>
      <c r="E20" s="17">
        <v>30436</v>
      </c>
      <c r="F20" s="20">
        <v>45197</v>
      </c>
      <c r="G20" s="23">
        <f t="shared" si="0"/>
        <v>3043.6000000000004</v>
      </c>
      <c r="H20" s="23">
        <f>E20*$P$1</f>
        <v>5478.48</v>
      </c>
      <c r="I20" s="25">
        <f t="shared" si="1"/>
        <v>1521.8000000000002</v>
      </c>
      <c r="J20" s="24" t="str">
        <f t="shared" si="2"/>
        <v>No Discount</v>
      </c>
      <c r="K20" s="30">
        <f t="shared" si="3"/>
        <v>30436</v>
      </c>
      <c r="L20">
        <f t="shared" si="4"/>
        <v>30440</v>
      </c>
      <c r="M20">
        <f t="shared" si="5"/>
        <v>30430</v>
      </c>
      <c r="N20" s="6"/>
      <c r="P20" s="6"/>
      <c r="Q20" s="6"/>
      <c r="R20" s="6"/>
      <c r="S20" s="6"/>
      <c r="T20" s="6"/>
      <c r="U20" s="6"/>
      <c r="V20" s="6"/>
      <c r="W20" s="6"/>
      <c r="X20" s="6"/>
      <c r="Y20" s="6"/>
      <c r="Z20" s="6"/>
    </row>
    <row r="21" spans="1:26" ht="15.75" customHeight="1">
      <c r="A21" s="7">
        <v>2020</v>
      </c>
      <c r="B21" s="7" t="s">
        <v>76</v>
      </c>
      <c r="C21" s="7" t="s">
        <v>77</v>
      </c>
      <c r="D21" s="7" t="s">
        <v>101</v>
      </c>
      <c r="E21" s="17">
        <v>33953</v>
      </c>
      <c r="F21" s="20">
        <v>45212</v>
      </c>
      <c r="G21" s="23">
        <f t="shared" si="0"/>
        <v>3395.3</v>
      </c>
      <c r="H21" s="23">
        <f>E21*$P$1</f>
        <v>6111.54</v>
      </c>
      <c r="I21" s="25">
        <f t="shared" si="1"/>
        <v>1697.65</v>
      </c>
      <c r="J21" s="24" t="str">
        <f t="shared" si="2"/>
        <v>No Discount</v>
      </c>
      <c r="K21" s="30">
        <f t="shared" si="3"/>
        <v>33953</v>
      </c>
      <c r="L21">
        <f t="shared" si="4"/>
        <v>33960</v>
      </c>
      <c r="M21">
        <f t="shared" si="5"/>
        <v>33950</v>
      </c>
      <c r="N21" s="6"/>
      <c r="O21" s="6"/>
      <c r="Q21" s="6"/>
      <c r="R21" s="6"/>
      <c r="S21" s="6"/>
      <c r="T21" s="6"/>
      <c r="U21" s="6"/>
      <c r="V21" s="6"/>
      <c r="W21" s="6"/>
      <c r="X21" s="6"/>
      <c r="Y21" s="6"/>
      <c r="Z21" s="6"/>
    </row>
    <row r="22" spans="1:26" ht="15.75" customHeight="1">
      <c r="A22" s="6"/>
      <c r="B22" s="6"/>
      <c r="C22" s="6"/>
      <c r="D22" s="6"/>
      <c r="E22" s="18"/>
      <c r="F22" s="14"/>
      <c r="G22" s="6"/>
      <c r="H22" s="6"/>
      <c r="I22" s="25"/>
      <c r="J22" s="6"/>
      <c r="K22" s="6"/>
      <c r="L22" s="6"/>
      <c r="M22" s="6"/>
      <c r="N22" s="6"/>
      <c r="O22" s="6"/>
      <c r="P22" s="6"/>
      <c r="Q22" s="6"/>
      <c r="R22" s="6"/>
      <c r="S22" s="6"/>
      <c r="T22" s="6"/>
      <c r="U22" s="6"/>
      <c r="V22" s="6"/>
      <c r="W22" s="6"/>
      <c r="X22" s="6"/>
      <c r="Y22" s="6"/>
      <c r="Z22" s="6"/>
    </row>
    <row r="23" spans="1:26" ht="15.75" customHeight="1">
      <c r="A23" s="6"/>
      <c r="B23" s="6"/>
      <c r="C23" s="6"/>
      <c r="D23" s="6"/>
      <c r="E23" s="18"/>
      <c r="F23" s="14"/>
      <c r="G23" s="6"/>
      <c r="H23" s="6"/>
      <c r="I23" s="25"/>
      <c r="J23" s="6"/>
      <c r="K23" s="6"/>
      <c r="L23" s="6"/>
      <c r="M23" s="6"/>
      <c r="N23" s="6"/>
      <c r="O23" s="6"/>
      <c r="P23" s="6"/>
      <c r="Q23" s="6"/>
      <c r="R23" s="6"/>
      <c r="S23" s="6"/>
      <c r="T23" s="6"/>
      <c r="U23" s="6"/>
      <c r="V23" s="6"/>
      <c r="W23" s="6"/>
      <c r="X23" s="6"/>
      <c r="Y23" s="6"/>
      <c r="Z23" s="6"/>
    </row>
    <row r="24" spans="1:26" ht="15.75" customHeight="1">
      <c r="A24" s="6"/>
      <c r="B24" s="6"/>
      <c r="C24" s="6"/>
      <c r="D24" s="6"/>
      <c r="E24" s="18"/>
      <c r="F24" s="14"/>
      <c r="G24" s="6"/>
      <c r="H24" s="6"/>
      <c r="J24" s="6"/>
      <c r="K24" s="6"/>
      <c r="L24" s="6"/>
      <c r="M24" s="6"/>
      <c r="N24" s="6"/>
      <c r="O24" s="6"/>
      <c r="P24" s="6"/>
      <c r="Q24" s="6"/>
      <c r="R24" s="6"/>
      <c r="S24" s="6"/>
      <c r="T24" s="6"/>
      <c r="U24" s="6"/>
      <c r="V24" s="6"/>
      <c r="W24" s="6"/>
      <c r="X24" s="6"/>
      <c r="Y24" s="6"/>
      <c r="Z24" s="6"/>
    </row>
    <row r="25" spans="1:26" ht="15.75" customHeight="1">
      <c r="A25" s="6"/>
      <c r="B25" s="6"/>
      <c r="C25" s="6"/>
      <c r="D25" s="6"/>
      <c r="E25" s="18"/>
      <c r="F25" s="14"/>
      <c r="G25" s="6"/>
      <c r="H25" s="6"/>
      <c r="J25" s="6"/>
      <c r="K25" s="6"/>
      <c r="L25" s="6"/>
      <c r="M25" s="6"/>
      <c r="N25" s="6"/>
      <c r="O25" s="6"/>
      <c r="P25" s="6"/>
      <c r="Q25" s="6"/>
      <c r="R25" s="6"/>
      <c r="S25" s="6"/>
      <c r="T25" s="6"/>
      <c r="U25" s="6"/>
      <c r="V25" s="6"/>
      <c r="W25" s="6"/>
      <c r="X25" s="6"/>
      <c r="Y25" s="6"/>
      <c r="Z25" s="6"/>
    </row>
    <row r="26" spans="1:26" ht="15.75" customHeight="1">
      <c r="A26" s="6"/>
      <c r="B26" s="6"/>
      <c r="C26" s="6"/>
      <c r="D26" s="6"/>
      <c r="E26" s="18"/>
      <c r="F26" s="14"/>
      <c r="G26" s="6"/>
      <c r="H26" s="6"/>
      <c r="J26" s="6"/>
      <c r="K26" s="6"/>
      <c r="L26" s="6"/>
      <c r="M26" s="6"/>
      <c r="N26" s="6"/>
      <c r="O26" s="6"/>
      <c r="P26" s="6"/>
      <c r="Q26" s="6"/>
      <c r="R26" s="6"/>
      <c r="S26" s="6"/>
      <c r="T26" s="6"/>
      <c r="U26" s="6"/>
      <c r="V26" s="6"/>
      <c r="W26" s="6"/>
      <c r="X26" s="6"/>
      <c r="Y26" s="6"/>
      <c r="Z26" s="6"/>
    </row>
    <row r="27" spans="1:26" ht="15.75" customHeight="1">
      <c r="A27" s="6"/>
      <c r="B27" s="6"/>
      <c r="C27" s="6"/>
      <c r="D27" s="6"/>
      <c r="E27" s="18"/>
      <c r="F27" s="14"/>
      <c r="G27" s="6"/>
      <c r="H27" s="6"/>
      <c r="J27" s="6"/>
      <c r="K27" s="6"/>
      <c r="L27" s="6"/>
      <c r="M27" s="6"/>
      <c r="N27" s="6"/>
      <c r="O27" s="6"/>
      <c r="P27" s="6"/>
      <c r="Q27" s="6"/>
      <c r="R27" s="6"/>
      <c r="S27" s="6"/>
      <c r="T27" s="6"/>
      <c r="U27" s="6"/>
      <c r="V27" s="6"/>
      <c r="W27" s="6"/>
      <c r="X27" s="6"/>
      <c r="Y27" s="6"/>
      <c r="Z27" s="6"/>
    </row>
    <row r="28" spans="1:26" ht="15.75" customHeight="1">
      <c r="A28" s="6"/>
      <c r="B28" s="6"/>
      <c r="C28" s="6"/>
      <c r="D28" s="6"/>
      <c r="E28" s="18"/>
      <c r="F28" s="14"/>
      <c r="G28" s="6"/>
      <c r="H28" s="6"/>
      <c r="J28" s="6"/>
      <c r="K28" s="6"/>
      <c r="L28" s="6"/>
      <c r="M28" s="6"/>
      <c r="N28" s="6"/>
      <c r="O28" s="6"/>
      <c r="P28" s="6"/>
      <c r="Q28" s="6"/>
      <c r="R28" s="6"/>
      <c r="S28" s="6"/>
      <c r="T28" s="6"/>
      <c r="U28" s="6"/>
      <c r="V28" s="6"/>
      <c r="W28" s="6"/>
      <c r="X28" s="6"/>
      <c r="Y28" s="6"/>
      <c r="Z28" s="6"/>
    </row>
    <row r="29" spans="1:26" ht="15.75" customHeight="1">
      <c r="A29" s="6"/>
      <c r="B29" s="6"/>
      <c r="C29" s="6"/>
      <c r="D29" s="6"/>
      <c r="E29" s="18"/>
      <c r="F29" s="14"/>
      <c r="G29" s="6"/>
      <c r="H29" s="6"/>
      <c r="J29" s="6"/>
      <c r="K29" s="6"/>
      <c r="L29" s="6"/>
      <c r="M29" s="6"/>
      <c r="N29" s="6"/>
      <c r="O29" s="6"/>
      <c r="P29" s="6"/>
      <c r="Q29" s="6"/>
      <c r="R29" s="6"/>
      <c r="S29" s="6"/>
      <c r="T29" s="6"/>
      <c r="U29" s="6"/>
      <c r="V29" s="6"/>
      <c r="W29" s="6"/>
      <c r="X29" s="6"/>
      <c r="Y29" s="6"/>
      <c r="Z29" s="6"/>
    </row>
    <row r="30" spans="1:26" ht="15.75" customHeight="1">
      <c r="A30" s="6"/>
      <c r="B30" s="6"/>
      <c r="C30" s="6"/>
      <c r="D30" s="6"/>
      <c r="E30" s="18"/>
      <c r="F30" s="14"/>
      <c r="G30" s="6"/>
      <c r="H30" s="6"/>
      <c r="J30" s="6"/>
      <c r="K30" s="6"/>
      <c r="L30" s="6"/>
      <c r="M30" s="6"/>
      <c r="N30" s="6"/>
      <c r="O30" s="6"/>
      <c r="P30" s="6"/>
      <c r="Q30" s="6"/>
      <c r="R30" s="6"/>
      <c r="S30" s="6"/>
      <c r="T30" s="6"/>
      <c r="U30" s="6"/>
      <c r="V30" s="6"/>
      <c r="W30" s="6"/>
      <c r="X30" s="6"/>
      <c r="Y30" s="6"/>
      <c r="Z30" s="6"/>
    </row>
    <row r="31" spans="1:26" ht="15.75" customHeight="1">
      <c r="A31" s="6"/>
      <c r="B31" s="6"/>
      <c r="C31" s="6"/>
      <c r="D31" s="6"/>
      <c r="E31" s="18"/>
      <c r="F31" s="14"/>
      <c r="G31" s="6"/>
      <c r="H31" s="6"/>
      <c r="J31" s="6"/>
      <c r="K31" s="6"/>
      <c r="L31" s="6"/>
      <c r="M31" s="6"/>
      <c r="N31" s="6"/>
      <c r="O31" s="6"/>
      <c r="P31" s="6"/>
      <c r="Q31" s="6"/>
      <c r="R31" s="6"/>
      <c r="S31" s="6"/>
      <c r="T31" s="6"/>
      <c r="U31" s="6"/>
      <c r="V31" s="6"/>
      <c r="W31" s="6"/>
      <c r="X31" s="6"/>
      <c r="Y31" s="6"/>
      <c r="Z31" s="6"/>
    </row>
    <row r="32" spans="1:26" ht="15.75" customHeight="1">
      <c r="A32" s="6"/>
      <c r="B32" s="6"/>
      <c r="C32" s="6"/>
      <c r="D32" s="6"/>
      <c r="E32" s="18"/>
      <c r="F32" s="14"/>
      <c r="G32" s="6"/>
      <c r="H32" s="6"/>
      <c r="J32" s="6"/>
      <c r="K32" s="6"/>
      <c r="L32" s="6"/>
      <c r="M32" s="6"/>
      <c r="N32" s="6"/>
      <c r="O32" s="6"/>
      <c r="P32" s="6"/>
      <c r="Q32" s="6"/>
      <c r="R32" s="6"/>
      <c r="S32" s="6"/>
      <c r="T32" s="6"/>
      <c r="U32" s="6"/>
      <c r="V32" s="6"/>
      <c r="W32" s="6"/>
      <c r="X32" s="6"/>
      <c r="Y32" s="6"/>
      <c r="Z32" s="6"/>
    </row>
    <row r="33" spans="1:26" ht="15.75" customHeight="1">
      <c r="A33" s="6"/>
      <c r="B33" s="6"/>
      <c r="C33" s="6"/>
      <c r="D33" s="6"/>
      <c r="E33" s="18"/>
      <c r="F33" s="14"/>
      <c r="G33" s="6"/>
      <c r="H33" s="6"/>
      <c r="J33" s="6"/>
      <c r="K33" s="6"/>
      <c r="L33" s="6"/>
      <c r="M33" s="6"/>
      <c r="N33" s="6"/>
      <c r="O33" s="6"/>
      <c r="P33" s="6"/>
      <c r="Q33" s="6"/>
      <c r="R33" s="6"/>
      <c r="S33" s="6"/>
      <c r="T33" s="6"/>
      <c r="U33" s="6"/>
      <c r="V33" s="6"/>
      <c r="W33" s="6"/>
      <c r="X33" s="6"/>
      <c r="Y33" s="6"/>
      <c r="Z33" s="6"/>
    </row>
    <row r="34" spans="1:26" ht="15.75" customHeight="1">
      <c r="A34" s="6"/>
      <c r="B34" s="6"/>
      <c r="C34" s="6"/>
      <c r="D34" s="6"/>
      <c r="E34" s="18"/>
      <c r="F34" s="14"/>
      <c r="G34" s="6"/>
      <c r="H34" s="6"/>
      <c r="J34" s="6"/>
      <c r="K34" s="6"/>
      <c r="L34" s="6"/>
      <c r="M34" s="6"/>
      <c r="N34" s="6"/>
      <c r="O34" s="6"/>
      <c r="P34" s="6"/>
      <c r="Q34" s="6"/>
      <c r="R34" s="6"/>
      <c r="S34" s="6"/>
      <c r="T34" s="6"/>
      <c r="U34" s="6"/>
      <c r="V34" s="6"/>
      <c r="W34" s="6"/>
      <c r="X34" s="6"/>
      <c r="Y34" s="6"/>
      <c r="Z34" s="6"/>
    </row>
    <row r="35" spans="1:26" ht="15.75" customHeight="1">
      <c r="A35" s="6"/>
      <c r="B35" s="6"/>
      <c r="C35" s="6"/>
      <c r="D35" s="6"/>
      <c r="E35" s="18"/>
      <c r="F35" s="14"/>
      <c r="G35" s="6"/>
      <c r="H35" s="6"/>
      <c r="J35" s="6"/>
      <c r="K35" s="6"/>
      <c r="L35" s="6"/>
      <c r="M35" s="6"/>
      <c r="N35" s="6"/>
      <c r="O35" s="6"/>
      <c r="P35" s="6"/>
      <c r="Q35" s="6"/>
      <c r="R35" s="6"/>
      <c r="S35" s="6"/>
      <c r="T35" s="6"/>
      <c r="U35" s="6"/>
      <c r="V35" s="6"/>
      <c r="W35" s="6"/>
      <c r="X35" s="6"/>
      <c r="Y35" s="6"/>
      <c r="Z35" s="6"/>
    </row>
    <row r="36" spans="1:26" ht="15.75" customHeight="1">
      <c r="A36" s="6"/>
      <c r="B36" s="6"/>
      <c r="C36" s="6"/>
      <c r="D36" s="6"/>
      <c r="E36" s="18"/>
      <c r="F36" s="14"/>
      <c r="G36" s="6"/>
      <c r="H36" s="6"/>
      <c r="J36" s="6"/>
      <c r="K36" s="6"/>
      <c r="L36" s="6"/>
      <c r="M36" s="6"/>
      <c r="N36" s="6"/>
      <c r="O36" s="6"/>
      <c r="P36" s="6"/>
      <c r="Q36" s="6"/>
      <c r="R36" s="6"/>
      <c r="S36" s="6"/>
      <c r="T36" s="6"/>
      <c r="U36" s="6"/>
      <c r="V36" s="6"/>
      <c r="W36" s="6"/>
      <c r="X36" s="6"/>
      <c r="Y36" s="6"/>
      <c r="Z36" s="6"/>
    </row>
    <row r="37" spans="1:26" ht="15.75" customHeight="1">
      <c r="A37" s="6"/>
      <c r="B37" s="6"/>
      <c r="C37" s="6"/>
      <c r="D37" s="6"/>
      <c r="E37" s="18"/>
      <c r="F37" s="14"/>
      <c r="G37" s="6"/>
      <c r="H37" s="6"/>
      <c r="J37" s="6"/>
      <c r="K37" s="6"/>
      <c r="L37" s="6"/>
      <c r="M37" s="6"/>
      <c r="N37" s="6"/>
      <c r="O37" s="6"/>
      <c r="P37" s="6"/>
      <c r="Q37" s="6"/>
      <c r="R37" s="6"/>
      <c r="S37" s="6"/>
      <c r="T37" s="6"/>
      <c r="U37" s="6"/>
      <c r="V37" s="6"/>
      <c r="W37" s="6"/>
      <c r="X37" s="6"/>
      <c r="Y37" s="6"/>
      <c r="Z37" s="6"/>
    </row>
    <row r="38" spans="1:26" ht="15.75" customHeight="1">
      <c r="A38" s="6"/>
      <c r="B38" s="6"/>
      <c r="C38" s="6"/>
      <c r="D38" s="6"/>
      <c r="E38" s="18"/>
      <c r="F38" s="14"/>
      <c r="G38" s="6"/>
      <c r="H38" s="6"/>
      <c r="J38" s="6"/>
      <c r="K38" s="6"/>
      <c r="L38" s="6"/>
      <c r="M38" s="6"/>
      <c r="N38" s="6"/>
      <c r="O38" s="6"/>
      <c r="P38" s="6"/>
      <c r="Q38" s="6"/>
      <c r="R38" s="6"/>
      <c r="S38" s="6"/>
      <c r="T38" s="6"/>
      <c r="U38" s="6"/>
      <c r="V38" s="6"/>
      <c r="W38" s="6"/>
      <c r="X38" s="6"/>
      <c r="Y38" s="6"/>
      <c r="Z38" s="6"/>
    </row>
    <row r="39" spans="1:26" ht="15.75" customHeight="1">
      <c r="A39" s="6"/>
      <c r="B39" s="6"/>
      <c r="C39" s="6"/>
      <c r="D39" s="6"/>
      <c r="E39" s="18"/>
      <c r="F39" s="14"/>
      <c r="G39" s="6"/>
      <c r="H39" s="6"/>
      <c r="J39" s="6"/>
      <c r="K39" s="6"/>
      <c r="L39" s="6"/>
      <c r="M39" s="6"/>
      <c r="N39" s="6"/>
      <c r="O39" s="6"/>
      <c r="P39" s="6"/>
      <c r="Q39" s="6"/>
      <c r="R39" s="6"/>
      <c r="S39" s="6"/>
      <c r="T39" s="6"/>
      <c r="U39" s="6"/>
      <c r="V39" s="6"/>
      <c r="W39" s="6"/>
      <c r="X39" s="6"/>
      <c r="Y39" s="6"/>
      <c r="Z39" s="6"/>
    </row>
    <row r="40" spans="1:26" ht="15.75" customHeight="1">
      <c r="A40" s="6"/>
      <c r="B40" s="6"/>
      <c r="C40" s="6"/>
      <c r="D40" s="6"/>
      <c r="E40" s="18"/>
      <c r="F40" s="14"/>
      <c r="G40" s="6"/>
      <c r="H40" s="6"/>
      <c r="J40" s="6"/>
      <c r="K40" s="6"/>
      <c r="L40" s="6"/>
      <c r="M40" s="6"/>
      <c r="N40" s="6"/>
      <c r="O40" s="6"/>
      <c r="P40" s="6"/>
      <c r="Q40" s="6"/>
      <c r="R40" s="6"/>
      <c r="S40" s="6"/>
      <c r="T40" s="6"/>
      <c r="U40" s="6"/>
      <c r="V40" s="6"/>
      <c r="W40" s="6"/>
      <c r="X40" s="6"/>
      <c r="Y40" s="6"/>
      <c r="Z40" s="6"/>
    </row>
    <row r="41" spans="1:26" ht="15.75" customHeight="1">
      <c r="A41" s="6"/>
      <c r="B41" s="6"/>
      <c r="C41" s="6"/>
      <c r="D41" s="6"/>
      <c r="E41" s="18"/>
      <c r="F41" s="14"/>
      <c r="G41" s="6"/>
      <c r="H41" s="6"/>
      <c r="J41" s="6"/>
      <c r="K41" s="6"/>
      <c r="L41" s="6"/>
      <c r="M41" s="6"/>
      <c r="N41" s="6"/>
      <c r="O41" s="6"/>
      <c r="P41" s="6"/>
      <c r="Q41" s="6"/>
      <c r="R41" s="6"/>
      <c r="S41" s="6"/>
      <c r="T41" s="6"/>
      <c r="U41" s="6"/>
      <c r="V41" s="6"/>
      <c r="W41" s="6"/>
      <c r="X41" s="6"/>
      <c r="Y41" s="6"/>
      <c r="Z41" s="6"/>
    </row>
    <row r="42" spans="1:26" ht="15.75" customHeight="1">
      <c r="A42" s="6"/>
      <c r="B42" s="6"/>
      <c r="C42" s="6"/>
      <c r="D42" s="6"/>
      <c r="E42" s="18"/>
      <c r="F42" s="14"/>
      <c r="G42" s="6"/>
      <c r="H42" s="6"/>
      <c r="J42" s="6"/>
      <c r="K42" s="6"/>
      <c r="L42" s="6"/>
      <c r="M42" s="6"/>
      <c r="N42" s="6"/>
      <c r="O42" s="6"/>
      <c r="P42" s="6"/>
      <c r="Q42" s="6"/>
      <c r="R42" s="6"/>
      <c r="S42" s="6"/>
      <c r="T42" s="6"/>
      <c r="U42" s="6"/>
      <c r="V42" s="6"/>
      <c r="W42" s="6"/>
      <c r="X42" s="6"/>
      <c r="Y42" s="6"/>
      <c r="Z42" s="6"/>
    </row>
    <row r="43" spans="1:26" ht="15.75" customHeight="1">
      <c r="A43" s="6"/>
      <c r="B43" s="6"/>
      <c r="C43" s="6"/>
      <c r="D43" s="6"/>
      <c r="E43" s="18"/>
      <c r="F43" s="14"/>
      <c r="G43" s="6"/>
      <c r="H43" s="6"/>
      <c r="J43" s="6"/>
      <c r="K43" s="6"/>
      <c r="L43" s="6"/>
      <c r="M43" s="6"/>
      <c r="N43" s="6"/>
      <c r="O43" s="6"/>
      <c r="P43" s="6"/>
      <c r="Q43" s="6"/>
      <c r="R43" s="6"/>
      <c r="S43" s="6"/>
      <c r="T43" s="6"/>
      <c r="U43" s="6"/>
      <c r="V43" s="6"/>
      <c r="W43" s="6"/>
      <c r="X43" s="6"/>
      <c r="Y43" s="6"/>
      <c r="Z43" s="6"/>
    </row>
    <row r="44" spans="1:26" ht="15.75" customHeight="1">
      <c r="A44" s="6"/>
      <c r="B44" s="6"/>
      <c r="C44" s="6"/>
      <c r="D44" s="6"/>
      <c r="E44" s="18"/>
      <c r="F44" s="14"/>
      <c r="G44" s="6"/>
      <c r="H44" s="6"/>
      <c r="J44" s="6"/>
      <c r="K44" s="6"/>
      <c r="L44" s="6"/>
      <c r="M44" s="6"/>
      <c r="N44" s="6"/>
      <c r="O44" s="6"/>
      <c r="P44" s="6"/>
      <c r="Q44" s="6"/>
      <c r="R44" s="6"/>
      <c r="S44" s="6"/>
      <c r="T44" s="6"/>
      <c r="U44" s="6"/>
      <c r="V44" s="6"/>
      <c r="W44" s="6"/>
      <c r="X44" s="6"/>
      <c r="Y44" s="6"/>
      <c r="Z44" s="6"/>
    </row>
    <row r="45" spans="1:26" ht="15.75" customHeight="1">
      <c r="A45" s="6"/>
      <c r="B45" s="6"/>
      <c r="C45" s="6"/>
      <c r="D45" s="6"/>
      <c r="E45" s="18"/>
      <c r="F45" s="14"/>
      <c r="G45" s="6"/>
      <c r="H45" s="6"/>
      <c r="J45" s="6"/>
      <c r="K45" s="6"/>
      <c r="L45" s="6"/>
      <c r="M45" s="6"/>
      <c r="N45" s="6"/>
      <c r="O45" s="6"/>
      <c r="P45" s="6"/>
      <c r="Q45" s="6"/>
      <c r="R45" s="6"/>
      <c r="S45" s="6"/>
      <c r="T45" s="6"/>
      <c r="U45" s="6"/>
      <c r="V45" s="6"/>
      <c r="W45" s="6"/>
      <c r="X45" s="6"/>
      <c r="Y45" s="6"/>
      <c r="Z45" s="6"/>
    </row>
    <row r="46" spans="1:26" ht="15.75" customHeight="1">
      <c r="A46" s="6"/>
      <c r="B46" s="6"/>
      <c r="C46" s="6"/>
      <c r="D46" s="6"/>
      <c r="E46" s="18"/>
      <c r="F46" s="14"/>
      <c r="G46" s="6"/>
      <c r="H46" s="6"/>
      <c r="J46" s="6"/>
      <c r="K46" s="6"/>
      <c r="L46" s="6"/>
      <c r="M46" s="6"/>
      <c r="N46" s="6"/>
      <c r="O46" s="6"/>
      <c r="P46" s="6"/>
      <c r="Q46" s="6"/>
      <c r="R46" s="6"/>
      <c r="S46" s="6"/>
      <c r="T46" s="6"/>
      <c r="U46" s="6"/>
      <c r="V46" s="6"/>
      <c r="W46" s="6"/>
      <c r="X46" s="6"/>
      <c r="Y46" s="6"/>
      <c r="Z46" s="6"/>
    </row>
    <row r="47" spans="1:26" ht="15.75" customHeight="1">
      <c r="A47" s="6"/>
      <c r="B47" s="6"/>
      <c r="C47" s="6"/>
      <c r="D47" s="6"/>
      <c r="E47" s="18"/>
      <c r="F47" s="14"/>
      <c r="G47" s="6"/>
      <c r="H47" s="6"/>
      <c r="J47" s="6"/>
      <c r="K47" s="6"/>
      <c r="L47" s="6"/>
      <c r="M47" s="6"/>
      <c r="N47" s="6"/>
      <c r="O47" s="6"/>
      <c r="P47" s="6"/>
      <c r="Q47" s="6"/>
      <c r="R47" s="6"/>
      <c r="S47" s="6"/>
      <c r="T47" s="6"/>
      <c r="U47" s="6"/>
      <c r="V47" s="6"/>
      <c r="W47" s="6"/>
      <c r="X47" s="6"/>
      <c r="Y47" s="6"/>
      <c r="Z47" s="6"/>
    </row>
    <row r="48" spans="1:26" ht="15.75" customHeight="1">
      <c r="A48" s="6"/>
      <c r="B48" s="6"/>
      <c r="C48" s="6"/>
      <c r="D48" s="6"/>
      <c r="E48" s="18"/>
      <c r="F48" s="14"/>
      <c r="G48" s="6"/>
      <c r="H48" s="6"/>
      <c r="J48" s="6"/>
      <c r="K48" s="6"/>
      <c r="L48" s="6"/>
      <c r="M48" s="6"/>
      <c r="N48" s="6"/>
      <c r="O48" s="6"/>
      <c r="P48" s="6"/>
      <c r="Q48" s="6"/>
      <c r="R48" s="6"/>
      <c r="S48" s="6"/>
      <c r="T48" s="6"/>
      <c r="U48" s="6"/>
      <c r="V48" s="6"/>
      <c r="W48" s="6"/>
      <c r="X48" s="6"/>
      <c r="Y48" s="6"/>
      <c r="Z48" s="6"/>
    </row>
    <row r="49" spans="1:26" ht="15.75" customHeight="1">
      <c r="A49" s="6"/>
      <c r="B49" s="6"/>
      <c r="C49" s="6"/>
      <c r="D49" s="6"/>
      <c r="E49" s="18"/>
      <c r="F49" s="14"/>
      <c r="G49" s="6"/>
      <c r="H49" s="6"/>
      <c r="J49" s="6"/>
      <c r="K49" s="6"/>
      <c r="L49" s="6"/>
      <c r="M49" s="6"/>
      <c r="N49" s="6"/>
      <c r="O49" s="6"/>
      <c r="P49" s="6"/>
      <c r="Q49" s="6"/>
      <c r="R49" s="6"/>
      <c r="S49" s="6"/>
      <c r="T49" s="6"/>
      <c r="U49" s="6"/>
      <c r="V49" s="6"/>
      <c r="W49" s="6"/>
      <c r="X49" s="6"/>
      <c r="Y49" s="6"/>
      <c r="Z49" s="6"/>
    </row>
    <row r="50" spans="1:26" ht="15.75" customHeight="1">
      <c r="A50" s="6"/>
      <c r="B50" s="6"/>
      <c r="C50" s="6"/>
      <c r="D50" s="6"/>
      <c r="E50" s="18"/>
      <c r="F50" s="14"/>
      <c r="G50" s="6"/>
      <c r="H50" s="6"/>
      <c r="J50" s="6"/>
      <c r="K50" s="6"/>
      <c r="L50" s="6"/>
      <c r="M50" s="6"/>
      <c r="N50" s="6"/>
      <c r="O50" s="6"/>
      <c r="P50" s="6"/>
      <c r="Q50" s="6"/>
      <c r="R50" s="6"/>
      <c r="S50" s="6"/>
      <c r="T50" s="6"/>
      <c r="U50" s="6"/>
      <c r="V50" s="6"/>
      <c r="W50" s="6"/>
      <c r="X50" s="6"/>
      <c r="Y50" s="6"/>
      <c r="Z50" s="6"/>
    </row>
    <row r="51" spans="1:26" ht="15.75" customHeight="1">
      <c r="A51" s="6"/>
      <c r="B51" s="6"/>
      <c r="C51" s="6"/>
      <c r="D51" s="6"/>
      <c r="E51" s="18"/>
      <c r="F51" s="14"/>
      <c r="G51" s="6"/>
      <c r="H51" s="6"/>
      <c r="J51" s="6"/>
      <c r="K51" s="6"/>
      <c r="L51" s="6"/>
      <c r="M51" s="6"/>
      <c r="N51" s="6"/>
      <c r="O51" s="6"/>
      <c r="P51" s="6"/>
      <c r="Q51" s="6"/>
      <c r="R51" s="6"/>
      <c r="S51" s="6"/>
      <c r="T51" s="6"/>
      <c r="U51" s="6"/>
      <c r="V51" s="6"/>
      <c r="W51" s="6"/>
      <c r="X51" s="6"/>
      <c r="Y51" s="6"/>
      <c r="Z51" s="6"/>
    </row>
    <row r="52" spans="1:26" ht="15.75" customHeight="1">
      <c r="A52" s="6"/>
      <c r="B52" s="6"/>
      <c r="C52" s="6"/>
      <c r="D52" s="6"/>
      <c r="E52" s="18"/>
      <c r="F52" s="14"/>
      <c r="G52" s="6"/>
      <c r="H52" s="6"/>
      <c r="J52" s="6"/>
      <c r="K52" s="6"/>
      <c r="L52" s="6"/>
      <c r="M52" s="6"/>
      <c r="N52" s="6"/>
      <c r="O52" s="6"/>
      <c r="P52" s="6"/>
      <c r="Q52" s="6"/>
      <c r="R52" s="6"/>
      <c r="S52" s="6"/>
      <c r="T52" s="6"/>
      <c r="U52" s="6"/>
      <c r="V52" s="6"/>
      <c r="W52" s="6"/>
      <c r="X52" s="6"/>
      <c r="Y52" s="6"/>
      <c r="Z52" s="6"/>
    </row>
    <row r="53" spans="1:26" ht="15.75" customHeight="1">
      <c r="A53" s="6"/>
      <c r="B53" s="6"/>
      <c r="C53" s="6"/>
      <c r="D53" s="6"/>
      <c r="E53" s="18"/>
      <c r="F53" s="14"/>
      <c r="G53" s="6"/>
      <c r="H53" s="6"/>
      <c r="J53" s="6"/>
      <c r="K53" s="6"/>
      <c r="L53" s="6"/>
      <c r="M53" s="6"/>
      <c r="N53" s="6"/>
      <c r="O53" s="6"/>
      <c r="P53" s="6"/>
      <c r="Q53" s="6"/>
      <c r="R53" s="6"/>
      <c r="S53" s="6"/>
      <c r="T53" s="6"/>
      <c r="U53" s="6"/>
      <c r="V53" s="6"/>
      <c r="W53" s="6"/>
      <c r="X53" s="6"/>
      <c r="Y53" s="6"/>
      <c r="Z53" s="6"/>
    </row>
    <row r="54" spans="1:26" ht="15.75" customHeight="1">
      <c r="A54" s="6"/>
      <c r="B54" s="6"/>
      <c r="C54" s="6"/>
      <c r="D54" s="6"/>
      <c r="E54" s="18"/>
      <c r="F54" s="14"/>
      <c r="G54" s="6"/>
      <c r="H54" s="6"/>
      <c r="J54" s="6"/>
      <c r="K54" s="6"/>
      <c r="L54" s="6"/>
      <c r="M54" s="6"/>
      <c r="N54" s="6"/>
      <c r="O54" s="6"/>
      <c r="P54" s="6"/>
      <c r="Q54" s="6"/>
      <c r="R54" s="6"/>
      <c r="S54" s="6"/>
      <c r="T54" s="6"/>
      <c r="U54" s="6"/>
      <c r="V54" s="6"/>
      <c r="W54" s="6"/>
      <c r="X54" s="6"/>
      <c r="Y54" s="6"/>
      <c r="Z54" s="6"/>
    </row>
    <row r="55" spans="1:26" ht="15.75" customHeight="1">
      <c r="A55" s="6"/>
      <c r="B55" s="6"/>
      <c r="C55" s="6"/>
      <c r="D55" s="6"/>
      <c r="E55" s="18"/>
      <c r="F55" s="14"/>
      <c r="G55" s="6"/>
      <c r="H55" s="6"/>
      <c r="J55" s="6"/>
      <c r="K55" s="6"/>
      <c r="L55" s="6"/>
      <c r="M55" s="6"/>
      <c r="N55" s="6"/>
      <c r="O55" s="6"/>
      <c r="P55" s="6"/>
      <c r="Q55" s="6"/>
      <c r="R55" s="6"/>
      <c r="S55" s="6"/>
      <c r="T55" s="6"/>
      <c r="U55" s="6"/>
      <c r="V55" s="6"/>
      <c r="W55" s="6"/>
      <c r="X55" s="6"/>
      <c r="Y55" s="6"/>
      <c r="Z55" s="6"/>
    </row>
    <row r="56" spans="1:26" ht="15.75" customHeight="1">
      <c r="A56" s="6"/>
      <c r="B56" s="6"/>
      <c r="C56" s="6"/>
      <c r="D56" s="6"/>
      <c r="E56" s="18"/>
      <c r="F56" s="14"/>
      <c r="G56" s="6"/>
      <c r="H56" s="6"/>
      <c r="J56" s="6"/>
      <c r="K56" s="6"/>
      <c r="L56" s="6"/>
      <c r="M56" s="6"/>
      <c r="N56" s="6"/>
      <c r="O56" s="6"/>
      <c r="P56" s="6"/>
      <c r="Q56" s="6"/>
      <c r="R56" s="6"/>
      <c r="S56" s="6"/>
      <c r="T56" s="6"/>
      <c r="U56" s="6"/>
      <c r="V56" s="6"/>
      <c r="W56" s="6"/>
      <c r="X56" s="6"/>
      <c r="Y56" s="6"/>
      <c r="Z56" s="6"/>
    </row>
    <row r="57" spans="1:26" ht="15.75" customHeight="1">
      <c r="A57" s="6"/>
      <c r="B57" s="6"/>
      <c r="C57" s="6"/>
      <c r="D57" s="6"/>
      <c r="E57" s="18"/>
      <c r="F57" s="14"/>
      <c r="G57" s="6"/>
      <c r="H57" s="6"/>
      <c r="J57" s="6"/>
      <c r="K57" s="6"/>
      <c r="L57" s="6"/>
      <c r="M57" s="6"/>
      <c r="N57" s="6"/>
      <c r="O57" s="6"/>
      <c r="P57" s="6"/>
      <c r="Q57" s="6"/>
      <c r="R57" s="6"/>
      <c r="S57" s="6"/>
      <c r="T57" s="6"/>
      <c r="U57" s="6"/>
      <c r="V57" s="6"/>
      <c r="W57" s="6"/>
      <c r="X57" s="6"/>
      <c r="Y57" s="6"/>
      <c r="Z57" s="6"/>
    </row>
    <row r="58" spans="1:26" ht="15.75" customHeight="1">
      <c r="A58" s="6"/>
      <c r="B58" s="6"/>
      <c r="C58" s="6"/>
      <c r="D58" s="6"/>
      <c r="E58" s="18"/>
      <c r="F58" s="14"/>
      <c r="G58" s="6"/>
      <c r="H58" s="6"/>
      <c r="J58" s="6"/>
      <c r="K58" s="6"/>
      <c r="L58" s="6"/>
      <c r="M58" s="6"/>
      <c r="N58" s="6"/>
      <c r="O58" s="6"/>
      <c r="P58" s="6"/>
      <c r="Q58" s="6"/>
      <c r="R58" s="6"/>
      <c r="S58" s="6"/>
      <c r="T58" s="6"/>
      <c r="U58" s="6"/>
      <c r="V58" s="6"/>
      <c r="W58" s="6"/>
      <c r="X58" s="6"/>
      <c r="Y58" s="6"/>
      <c r="Z58" s="6"/>
    </row>
    <row r="59" spans="1:26" ht="15.75" customHeight="1">
      <c r="A59" s="6"/>
      <c r="B59" s="6"/>
      <c r="C59" s="6"/>
      <c r="D59" s="6"/>
      <c r="E59" s="18"/>
      <c r="F59" s="14"/>
      <c r="G59" s="6"/>
      <c r="H59" s="6"/>
      <c r="J59" s="6"/>
      <c r="K59" s="6"/>
      <c r="L59" s="6"/>
      <c r="M59" s="6"/>
      <c r="N59" s="6"/>
      <c r="O59" s="6"/>
      <c r="P59" s="6"/>
      <c r="Q59" s="6"/>
      <c r="R59" s="6"/>
      <c r="S59" s="6"/>
      <c r="T59" s="6"/>
      <c r="U59" s="6"/>
      <c r="V59" s="6"/>
      <c r="W59" s="6"/>
      <c r="X59" s="6"/>
      <c r="Y59" s="6"/>
      <c r="Z59" s="6"/>
    </row>
    <row r="60" spans="1:26" ht="15.75" customHeight="1">
      <c r="A60" s="6"/>
      <c r="B60" s="6"/>
      <c r="C60" s="6"/>
      <c r="D60" s="6"/>
      <c r="E60" s="18"/>
      <c r="F60" s="14"/>
      <c r="G60" s="6"/>
      <c r="H60" s="6"/>
      <c r="J60" s="6"/>
      <c r="K60" s="6"/>
      <c r="L60" s="6"/>
      <c r="M60" s="6"/>
      <c r="N60" s="6"/>
      <c r="O60" s="6"/>
      <c r="P60" s="6"/>
      <c r="Q60" s="6"/>
      <c r="R60" s="6"/>
      <c r="S60" s="6"/>
      <c r="T60" s="6"/>
      <c r="U60" s="6"/>
      <c r="V60" s="6"/>
      <c r="W60" s="6"/>
      <c r="X60" s="6"/>
      <c r="Y60" s="6"/>
      <c r="Z60" s="6"/>
    </row>
    <row r="61" spans="1:26" ht="15.75" customHeight="1">
      <c r="A61" s="6"/>
      <c r="B61" s="6"/>
      <c r="C61" s="6"/>
      <c r="D61" s="6"/>
      <c r="E61" s="18"/>
      <c r="F61" s="14"/>
      <c r="G61" s="6"/>
      <c r="H61" s="6"/>
      <c r="J61" s="6"/>
      <c r="K61" s="6"/>
      <c r="L61" s="6"/>
      <c r="M61" s="6"/>
      <c r="N61" s="6"/>
      <c r="O61" s="6"/>
      <c r="P61" s="6"/>
      <c r="Q61" s="6"/>
      <c r="R61" s="6"/>
      <c r="S61" s="6"/>
      <c r="T61" s="6"/>
      <c r="U61" s="6"/>
      <c r="V61" s="6"/>
      <c r="W61" s="6"/>
      <c r="X61" s="6"/>
      <c r="Y61" s="6"/>
      <c r="Z61" s="6"/>
    </row>
    <row r="62" spans="1:26" ht="15.75" customHeight="1">
      <c r="A62" s="6"/>
      <c r="B62" s="6"/>
      <c r="C62" s="6"/>
      <c r="D62" s="6"/>
      <c r="E62" s="18"/>
      <c r="F62" s="14"/>
      <c r="G62" s="6"/>
      <c r="H62" s="6"/>
      <c r="J62" s="6"/>
      <c r="K62" s="6"/>
      <c r="L62" s="6"/>
      <c r="M62" s="6"/>
      <c r="N62" s="6"/>
      <c r="O62" s="6"/>
      <c r="P62" s="6"/>
      <c r="Q62" s="6"/>
      <c r="R62" s="6"/>
      <c r="S62" s="6"/>
      <c r="T62" s="6"/>
      <c r="U62" s="6"/>
      <c r="V62" s="6"/>
      <c r="W62" s="6"/>
      <c r="X62" s="6"/>
      <c r="Y62" s="6"/>
      <c r="Z62" s="6"/>
    </row>
    <row r="63" spans="1:26" ht="15.75" customHeight="1">
      <c r="A63" s="6"/>
      <c r="B63" s="6"/>
      <c r="C63" s="6"/>
      <c r="D63" s="6"/>
      <c r="E63" s="18"/>
      <c r="F63" s="14"/>
      <c r="G63" s="6"/>
      <c r="H63" s="6"/>
      <c r="J63" s="6"/>
      <c r="K63" s="6"/>
      <c r="L63" s="6"/>
      <c r="M63" s="6"/>
      <c r="N63" s="6"/>
      <c r="O63" s="6"/>
      <c r="P63" s="6"/>
      <c r="Q63" s="6"/>
      <c r="R63" s="6"/>
      <c r="S63" s="6"/>
      <c r="T63" s="6"/>
      <c r="U63" s="6"/>
      <c r="V63" s="6"/>
      <c r="W63" s="6"/>
      <c r="X63" s="6"/>
      <c r="Y63" s="6"/>
      <c r="Z63" s="6"/>
    </row>
    <row r="64" spans="1:26" ht="15.75" customHeight="1">
      <c r="A64" s="6"/>
      <c r="B64" s="6"/>
      <c r="C64" s="6"/>
      <c r="D64" s="6"/>
      <c r="E64" s="18"/>
      <c r="F64" s="14"/>
      <c r="G64" s="6"/>
      <c r="H64" s="6"/>
      <c r="J64" s="6"/>
      <c r="K64" s="6"/>
      <c r="L64" s="6"/>
      <c r="M64" s="6"/>
      <c r="N64" s="6"/>
      <c r="O64" s="6"/>
      <c r="P64" s="6"/>
      <c r="Q64" s="6"/>
      <c r="R64" s="6"/>
      <c r="S64" s="6"/>
      <c r="T64" s="6"/>
      <c r="U64" s="6"/>
      <c r="V64" s="6"/>
      <c r="W64" s="6"/>
      <c r="X64" s="6"/>
      <c r="Y64" s="6"/>
      <c r="Z64" s="6"/>
    </row>
    <row r="65" spans="1:26" ht="15.75" customHeight="1">
      <c r="A65" s="6"/>
      <c r="B65" s="6"/>
      <c r="C65" s="6"/>
      <c r="D65" s="6"/>
      <c r="E65" s="18"/>
      <c r="F65" s="14"/>
      <c r="G65" s="6"/>
      <c r="H65" s="6"/>
      <c r="J65" s="6"/>
      <c r="K65" s="6"/>
      <c r="L65" s="6"/>
      <c r="M65" s="6"/>
      <c r="N65" s="6"/>
      <c r="O65" s="6"/>
      <c r="P65" s="6"/>
      <c r="Q65" s="6"/>
      <c r="R65" s="6"/>
      <c r="S65" s="6"/>
      <c r="T65" s="6"/>
      <c r="U65" s="6"/>
      <c r="V65" s="6"/>
      <c r="W65" s="6"/>
      <c r="X65" s="6"/>
      <c r="Y65" s="6"/>
      <c r="Z65" s="6"/>
    </row>
    <row r="66" spans="1:26" ht="15.75" customHeight="1">
      <c r="A66" s="6"/>
      <c r="B66" s="6"/>
      <c r="C66" s="6"/>
      <c r="D66" s="6"/>
      <c r="E66" s="18"/>
      <c r="F66" s="14"/>
      <c r="G66" s="6"/>
      <c r="H66" s="6"/>
      <c r="J66" s="6"/>
      <c r="K66" s="6"/>
      <c r="L66" s="6"/>
      <c r="M66" s="6"/>
      <c r="N66" s="6"/>
      <c r="O66" s="6"/>
      <c r="P66" s="6"/>
      <c r="Q66" s="6"/>
      <c r="R66" s="6"/>
      <c r="S66" s="6"/>
      <c r="T66" s="6"/>
      <c r="U66" s="6"/>
      <c r="V66" s="6"/>
      <c r="W66" s="6"/>
      <c r="X66" s="6"/>
      <c r="Y66" s="6"/>
      <c r="Z66" s="6"/>
    </row>
    <row r="67" spans="1:26" ht="15.75" customHeight="1">
      <c r="A67" s="6"/>
      <c r="B67" s="6"/>
      <c r="C67" s="6"/>
      <c r="D67" s="6"/>
      <c r="E67" s="18"/>
      <c r="F67" s="14"/>
      <c r="G67" s="6"/>
      <c r="H67" s="6"/>
      <c r="J67" s="6"/>
      <c r="K67" s="6"/>
      <c r="L67" s="6"/>
      <c r="M67" s="6"/>
      <c r="N67" s="6"/>
      <c r="O67" s="6"/>
      <c r="P67" s="6"/>
      <c r="Q67" s="6"/>
      <c r="R67" s="6"/>
      <c r="S67" s="6"/>
      <c r="T67" s="6"/>
      <c r="U67" s="6"/>
      <c r="V67" s="6"/>
      <c r="W67" s="6"/>
      <c r="X67" s="6"/>
      <c r="Y67" s="6"/>
      <c r="Z67" s="6"/>
    </row>
    <row r="68" spans="1:26" ht="15.75" customHeight="1">
      <c r="A68" s="6"/>
      <c r="B68" s="6"/>
      <c r="C68" s="6"/>
      <c r="D68" s="6"/>
      <c r="E68" s="18"/>
      <c r="F68" s="14"/>
      <c r="G68" s="6"/>
      <c r="H68" s="6"/>
      <c r="J68" s="6"/>
      <c r="K68" s="6"/>
      <c r="L68" s="6"/>
      <c r="M68" s="6"/>
      <c r="N68" s="6"/>
      <c r="O68" s="6"/>
      <c r="P68" s="6"/>
      <c r="Q68" s="6"/>
      <c r="R68" s="6"/>
      <c r="S68" s="6"/>
      <c r="T68" s="6"/>
      <c r="U68" s="6"/>
      <c r="V68" s="6"/>
      <c r="W68" s="6"/>
      <c r="X68" s="6"/>
      <c r="Y68" s="6"/>
      <c r="Z68" s="6"/>
    </row>
    <row r="69" spans="1:26" ht="15.75" customHeight="1">
      <c r="A69" s="6"/>
      <c r="B69" s="6"/>
      <c r="C69" s="6"/>
      <c r="D69" s="6"/>
      <c r="E69" s="18"/>
      <c r="F69" s="14"/>
      <c r="G69" s="6"/>
      <c r="H69" s="6"/>
      <c r="J69" s="6"/>
      <c r="K69" s="6"/>
      <c r="L69" s="6"/>
      <c r="M69" s="6"/>
      <c r="N69" s="6"/>
      <c r="O69" s="6"/>
      <c r="P69" s="6"/>
      <c r="Q69" s="6"/>
      <c r="R69" s="6"/>
      <c r="S69" s="6"/>
      <c r="T69" s="6"/>
      <c r="U69" s="6"/>
      <c r="V69" s="6"/>
      <c r="W69" s="6"/>
      <c r="X69" s="6"/>
      <c r="Y69" s="6"/>
      <c r="Z69" s="6"/>
    </row>
    <row r="70" spans="1:26" ht="15.75" customHeight="1">
      <c r="A70" s="6"/>
      <c r="B70" s="6"/>
      <c r="C70" s="6"/>
      <c r="D70" s="6"/>
      <c r="E70" s="18"/>
      <c r="F70" s="14"/>
      <c r="G70" s="6"/>
      <c r="H70" s="6"/>
      <c r="J70" s="6"/>
      <c r="K70" s="6"/>
      <c r="L70" s="6"/>
      <c r="M70" s="6"/>
      <c r="N70" s="6"/>
      <c r="O70" s="6"/>
      <c r="P70" s="6"/>
      <c r="Q70" s="6"/>
      <c r="R70" s="6"/>
      <c r="S70" s="6"/>
      <c r="T70" s="6"/>
      <c r="U70" s="6"/>
      <c r="V70" s="6"/>
      <c r="W70" s="6"/>
      <c r="X70" s="6"/>
      <c r="Y70" s="6"/>
      <c r="Z70" s="6"/>
    </row>
    <row r="71" spans="1:26" ht="15.75" customHeight="1">
      <c r="A71" s="6"/>
      <c r="B71" s="6"/>
      <c r="C71" s="6"/>
      <c r="D71" s="6"/>
      <c r="E71" s="18"/>
      <c r="F71" s="14"/>
      <c r="G71" s="6"/>
      <c r="H71" s="6"/>
      <c r="J71" s="6"/>
      <c r="K71" s="6"/>
      <c r="L71" s="6"/>
      <c r="M71" s="6"/>
      <c r="N71" s="6"/>
      <c r="O71" s="6"/>
      <c r="P71" s="6"/>
      <c r="Q71" s="6"/>
      <c r="R71" s="6"/>
      <c r="S71" s="6"/>
      <c r="T71" s="6"/>
      <c r="U71" s="6"/>
      <c r="V71" s="6"/>
      <c r="W71" s="6"/>
      <c r="X71" s="6"/>
      <c r="Y71" s="6"/>
      <c r="Z71" s="6"/>
    </row>
    <row r="72" spans="1:26" ht="15.75" customHeight="1">
      <c r="A72" s="6"/>
      <c r="B72" s="6"/>
      <c r="C72" s="6"/>
      <c r="D72" s="6"/>
      <c r="E72" s="18"/>
      <c r="F72" s="14"/>
      <c r="G72" s="6"/>
      <c r="H72" s="6"/>
      <c r="J72" s="6"/>
      <c r="K72" s="6"/>
      <c r="L72" s="6"/>
      <c r="M72" s="6"/>
      <c r="N72" s="6"/>
      <c r="O72" s="6"/>
      <c r="P72" s="6"/>
      <c r="Q72" s="6"/>
      <c r="R72" s="6"/>
      <c r="S72" s="6"/>
      <c r="T72" s="6"/>
      <c r="U72" s="6"/>
      <c r="V72" s="6"/>
      <c r="W72" s="6"/>
      <c r="X72" s="6"/>
      <c r="Y72" s="6"/>
      <c r="Z72" s="6"/>
    </row>
    <row r="73" spans="1:26" ht="15.75" customHeight="1">
      <c r="A73" s="6"/>
      <c r="B73" s="6"/>
      <c r="C73" s="6"/>
      <c r="D73" s="6"/>
      <c r="E73" s="18"/>
      <c r="F73" s="14"/>
      <c r="G73" s="6"/>
      <c r="H73" s="6"/>
      <c r="J73" s="6"/>
      <c r="K73" s="6"/>
      <c r="L73" s="6"/>
      <c r="M73" s="6"/>
      <c r="N73" s="6"/>
      <c r="O73" s="6"/>
      <c r="P73" s="6"/>
      <c r="Q73" s="6"/>
      <c r="R73" s="6"/>
      <c r="S73" s="6"/>
      <c r="T73" s="6"/>
      <c r="U73" s="6"/>
      <c r="V73" s="6"/>
      <c r="W73" s="6"/>
      <c r="X73" s="6"/>
      <c r="Y73" s="6"/>
      <c r="Z73" s="6"/>
    </row>
    <row r="74" spans="1:26" ht="15.75" customHeight="1">
      <c r="A74" s="6"/>
      <c r="B74" s="6"/>
      <c r="C74" s="6"/>
      <c r="D74" s="6"/>
      <c r="E74" s="18"/>
      <c r="F74" s="14"/>
      <c r="G74" s="6"/>
      <c r="H74" s="6"/>
      <c r="J74" s="6"/>
      <c r="K74" s="6"/>
      <c r="L74" s="6"/>
      <c r="M74" s="6"/>
      <c r="N74" s="6"/>
      <c r="O74" s="6"/>
      <c r="P74" s="6"/>
      <c r="Q74" s="6"/>
      <c r="R74" s="6"/>
      <c r="S74" s="6"/>
      <c r="T74" s="6"/>
      <c r="U74" s="6"/>
      <c r="V74" s="6"/>
      <c r="W74" s="6"/>
      <c r="X74" s="6"/>
      <c r="Y74" s="6"/>
      <c r="Z74" s="6"/>
    </row>
    <row r="75" spans="1:26" ht="15.75" customHeight="1">
      <c r="A75" s="6"/>
      <c r="B75" s="6"/>
      <c r="C75" s="6"/>
      <c r="D75" s="6"/>
      <c r="E75" s="18"/>
      <c r="F75" s="14"/>
      <c r="G75" s="6"/>
      <c r="H75" s="6"/>
      <c r="J75" s="6"/>
      <c r="K75" s="6"/>
      <c r="L75" s="6"/>
      <c r="M75" s="6"/>
      <c r="N75" s="6"/>
      <c r="O75" s="6"/>
      <c r="P75" s="6"/>
      <c r="Q75" s="6"/>
      <c r="R75" s="6"/>
      <c r="S75" s="6"/>
      <c r="T75" s="6"/>
      <c r="U75" s="6"/>
      <c r="V75" s="6"/>
      <c r="W75" s="6"/>
      <c r="X75" s="6"/>
      <c r="Y75" s="6"/>
      <c r="Z75" s="6"/>
    </row>
    <row r="76" spans="1:26" ht="15.75" customHeight="1">
      <c r="A76" s="6"/>
      <c r="B76" s="6"/>
      <c r="C76" s="6"/>
      <c r="D76" s="6"/>
      <c r="E76" s="18"/>
      <c r="F76" s="14"/>
      <c r="G76" s="6"/>
      <c r="H76" s="6"/>
      <c r="J76" s="6"/>
      <c r="K76" s="6"/>
      <c r="L76" s="6"/>
      <c r="M76" s="6"/>
      <c r="N76" s="6"/>
      <c r="O76" s="6"/>
      <c r="P76" s="6"/>
      <c r="Q76" s="6"/>
      <c r="R76" s="6"/>
      <c r="S76" s="6"/>
      <c r="T76" s="6"/>
      <c r="U76" s="6"/>
      <c r="V76" s="6"/>
      <c r="W76" s="6"/>
      <c r="X76" s="6"/>
      <c r="Y76" s="6"/>
      <c r="Z76" s="6"/>
    </row>
    <row r="77" spans="1:26" ht="15.75" customHeight="1">
      <c r="A77" s="6"/>
      <c r="B77" s="6"/>
      <c r="C77" s="6"/>
      <c r="D77" s="6"/>
      <c r="E77" s="18"/>
      <c r="F77" s="14"/>
      <c r="G77" s="6"/>
      <c r="H77" s="6"/>
      <c r="J77" s="6"/>
      <c r="K77" s="6"/>
      <c r="L77" s="6"/>
      <c r="M77" s="6"/>
      <c r="N77" s="6"/>
      <c r="O77" s="6"/>
      <c r="P77" s="6"/>
      <c r="Q77" s="6"/>
      <c r="R77" s="6"/>
      <c r="S77" s="6"/>
      <c r="T77" s="6"/>
      <c r="U77" s="6"/>
      <c r="V77" s="6"/>
      <c r="W77" s="6"/>
      <c r="X77" s="6"/>
      <c r="Y77" s="6"/>
      <c r="Z77" s="6"/>
    </row>
    <row r="78" spans="1:26" ht="15.75" customHeight="1">
      <c r="A78" s="6"/>
      <c r="B78" s="6"/>
      <c r="C78" s="6"/>
      <c r="D78" s="6"/>
      <c r="E78" s="18"/>
      <c r="F78" s="14"/>
      <c r="G78" s="6"/>
      <c r="H78" s="6"/>
      <c r="J78" s="6"/>
      <c r="K78" s="6"/>
      <c r="L78" s="6"/>
      <c r="M78" s="6"/>
      <c r="N78" s="6"/>
      <c r="O78" s="6"/>
      <c r="P78" s="6"/>
      <c r="Q78" s="6"/>
      <c r="R78" s="6"/>
      <c r="S78" s="6"/>
      <c r="T78" s="6"/>
      <c r="U78" s="6"/>
      <c r="V78" s="6"/>
      <c r="W78" s="6"/>
      <c r="X78" s="6"/>
      <c r="Y78" s="6"/>
      <c r="Z78" s="6"/>
    </row>
    <row r="79" spans="1:26" ht="15.75" customHeight="1">
      <c r="A79" s="6"/>
      <c r="B79" s="6"/>
      <c r="C79" s="6"/>
      <c r="D79" s="6"/>
      <c r="E79" s="18"/>
      <c r="F79" s="14"/>
      <c r="G79" s="6"/>
      <c r="H79" s="6"/>
      <c r="J79" s="6"/>
      <c r="K79" s="6"/>
      <c r="L79" s="6"/>
      <c r="M79" s="6"/>
      <c r="N79" s="6"/>
      <c r="O79" s="6"/>
      <c r="P79" s="6"/>
      <c r="Q79" s="6"/>
      <c r="R79" s="6"/>
      <c r="S79" s="6"/>
      <c r="T79" s="6"/>
      <c r="U79" s="6"/>
      <c r="V79" s="6"/>
      <c r="W79" s="6"/>
      <c r="X79" s="6"/>
      <c r="Y79" s="6"/>
      <c r="Z79" s="6"/>
    </row>
    <row r="80" spans="1:26" ht="15.75" customHeight="1">
      <c r="A80" s="6"/>
      <c r="B80" s="6"/>
      <c r="C80" s="6"/>
      <c r="D80" s="6"/>
      <c r="E80" s="18"/>
      <c r="F80" s="14"/>
      <c r="G80" s="6"/>
      <c r="H80" s="6"/>
      <c r="J80" s="6"/>
      <c r="K80" s="6"/>
      <c r="L80" s="6"/>
      <c r="M80" s="6"/>
      <c r="N80" s="6"/>
      <c r="O80" s="6"/>
      <c r="P80" s="6"/>
      <c r="Q80" s="6"/>
      <c r="R80" s="6"/>
      <c r="S80" s="6"/>
      <c r="T80" s="6"/>
      <c r="U80" s="6"/>
      <c r="V80" s="6"/>
      <c r="W80" s="6"/>
      <c r="X80" s="6"/>
      <c r="Y80" s="6"/>
      <c r="Z80" s="6"/>
    </row>
    <row r="81" spans="1:26" ht="15.75" customHeight="1">
      <c r="A81" s="6"/>
      <c r="B81" s="6"/>
      <c r="C81" s="6"/>
      <c r="D81" s="6"/>
      <c r="E81" s="18"/>
      <c r="F81" s="14"/>
      <c r="G81" s="6"/>
      <c r="H81" s="6"/>
      <c r="J81" s="6"/>
      <c r="K81" s="6"/>
      <c r="L81" s="6"/>
      <c r="M81" s="6"/>
      <c r="N81" s="6"/>
      <c r="O81" s="6"/>
      <c r="P81" s="6"/>
      <c r="Q81" s="6"/>
      <c r="R81" s="6"/>
      <c r="S81" s="6"/>
      <c r="T81" s="6"/>
      <c r="U81" s="6"/>
      <c r="V81" s="6"/>
      <c r="W81" s="6"/>
      <c r="X81" s="6"/>
      <c r="Y81" s="6"/>
      <c r="Z81" s="6"/>
    </row>
    <row r="82" spans="1:26" ht="15.75" customHeight="1">
      <c r="A82" s="6"/>
      <c r="B82" s="6"/>
      <c r="C82" s="6"/>
      <c r="D82" s="6"/>
      <c r="E82" s="18"/>
      <c r="F82" s="14"/>
      <c r="G82" s="6"/>
      <c r="H82" s="6"/>
      <c r="J82" s="6"/>
      <c r="K82" s="6"/>
      <c r="L82" s="6"/>
      <c r="M82" s="6"/>
      <c r="N82" s="6"/>
      <c r="O82" s="6"/>
      <c r="P82" s="6"/>
      <c r="Q82" s="6"/>
      <c r="R82" s="6"/>
      <c r="S82" s="6"/>
      <c r="T82" s="6"/>
      <c r="U82" s="6"/>
      <c r="V82" s="6"/>
      <c r="W82" s="6"/>
      <c r="X82" s="6"/>
      <c r="Y82" s="6"/>
      <c r="Z82" s="6"/>
    </row>
    <row r="83" spans="1:26" ht="15.75" customHeight="1">
      <c r="A83" s="6"/>
      <c r="B83" s="6"/>
      <c r="C83" s="6"/>
      <c r="D83" s="6"/>
      <c r="E83" s="18"/>
      <c r="F83" s="14"/>
      <c r="G83" s="6"/>
      <c r="H83" s="6"/>
      <c r="J83" s="6"/>
      <c r="K83" s="6"/>
      <c r="L83" s="6"/>
      <c r="M83" s="6"/>
      <c r="N83" s="6"/>
      <c r="O83" s="6"/>
      <c r="P83" s="6"/>
      <c r="Q83" s="6"/>
      <c r="R83" s="6"/>
      <c r="S83" s="6"/>
      <c r="T83" s="6"/>
      <c r="U83" s="6"/>
      <c r="V83" s="6"/>
      <c r="W83" s="6"/>
      <c r="X83" s="6"/>
      <c r="Y83" s="6"/>
      <c r="Z83" s="6"/>
    </row>
    <row r="84" spans="1:26" ht="15.75" customHeight="1">
      <c r="A84" s="6"/>
      <c r="B84" s="6"/>
      <c r="C84" s="6"/>
      <c r="D84" s="6"/>
      <c r="E84" s="18"/>
      <c r="F84" s="14"/>
      <c r="G84" s="6"/>
      <c r="H84" s="6"/>
      <c r="J84" s="6"/>
      <c r="K84" s="6"/>
      <c r="L84" s="6"/>
      <c r="M84" s="6"/>
      <c r="N84" s="6"/>
      <c r="O84" s="6"/>
      <c r="P84" s="6"/>
      <c r="Q84" s="6"/>
      <c r="R84" s="6"/>
      <c r="S84" s="6"/>
      <c r="T84" s="6"/>
      <c r="U84" s="6"/>
      <c r="V84" s="6"/>
      <c r="W84" s="6"/>
      <c r="X84" s="6"/>
      <c r="Y84" s="6"/>
      <c r="Z84" s="6"/>
    </row>
    <row r="85" spans="1:26" ht="15.75" customHeight="1">
      <c r="A85" s="6"/>
      <c r="B85" s="6"/>
      <c r="C85" s="6"/>
      <c r="D85" s="6"/>
      <c r="E85" s="18"/>
      <c r="F85" s="14"/>
      <c r="G85" s="6"/>
      <c r="H85" s="6"/>
      <c r="J85" s="6"/>
      <c r="K85" s="6"/>
      <c r="L85" s="6"/>
      <c r="M85" s="6"/>
      <c r="N85" s="6"/>
      <c r="O85" s="6"/>
      <c r="P85" s="6"/>
      <c r="Q85" s="6"/>
      <c r="R85" s="6"/>
      <c r="S85" s="6"/>
      <c r="T85" s="6"/>
      <c r="U85" s="6"/>
      <c r="V85" s="6"/>
      <c r="W85" s="6"/>
      <c r="X85" s="6"/>
      <c r="Y85" s="6"/>
      <c r="Z85" s="6"/>
    </row>
    <row r="86" spans="1:26" ht="15.75" customHeight="1">
      <c r="A86" s="6"/>
      <c r="B86" s="6"/>
      <c r="C86" s="6"/>
      <c r="D86" s="6"/>
      <c r="E86" s="18"/>
      <c r="F86" s="14"/>
      <c r="G86" s="6"/>
      <c r="H86" s="6"/>
      <c r="J86" s="6"/>
      <c r="K86" s="6"/>
      <c r="L86" s="6"/>
      <c r="M86" s="6"/>
      <c r="N86" s="6"/>
      <c r="O86" s="6"/>
      <c r="P86" s="6"/>
      <c r="Q86" s="6"/>
      <c r="R86" s="6"/>
      <c r="S86" s="6"/>
      <c r="T86" s="6"/>
      <c r="U86" s="6"/>
      <c r="V86" s="6"/>
      <c r="W86" s="6"/>
      <c r="X86" s="6"/>
      <c r="Y86" s="6"/>
      <c r="Z86" s="6"/>
    </row>
    <row r="87" spans="1:26" ht="15.75" customHeight="1">
      <c r="A87" s="6"/>
      <c r="B87" s="6"/>
      <c r="C87" s="6"/>
      <c r="D87" s="6"/>
      <c r="E87" s="18"/>
      <c r="F87" s="14"/>
      <c r="G87" s="6"/>
      <c r="H87" s="6"/>
      <c r="J87" s="6"/>
      <c r="K87" s="6"/>
      <c r="L87" s="6"/>
      <c r="M87" s="6"/>
      <c r="N87" s="6"/>
      <c r="O87" s="6"/>
      <c r="P87" s="6"/>
      <c r="Q87" s="6"/>
      <c r="R87" s="6"/>
      <c r="S87" s="6"/>
      <c r="T87" s="6"/>
      <c r="U87" s="6"/>
      <c r="V87" s="6"/>
      <c r="W87" s="6"/>
      <c r="X87" s="6"/>
      <c r="Y87" s="6"/>
      <c r="Z87" s="6"/>
    </row>
    <row r="88" spans="1:26" ht="15.75" customHeight="1">
      <c r="A88" s="6"/>
      <c r="B88" s="6"/>
      <c r="C88" s="6"/>
      <c r="D88" s="6"/>
      <c r="E88" s="18"/>
      <c r="F88" s="14"/>
      <c r="G88" s="6"/>
      <c r="H88" s="6"/>
      <c r="J88" s="6"/>
      <c r="K88" s="6"/>
      <c r="L88" s="6"/>
      <c r="M88" s="6"/>
      <c r="N88" s="6"/>
      <c r="O88" s="6"/>
      <c r="P88" s="6"/>
      <c r="Q88" s="6"/>
      <c r="R88" s="6"/>
      <c r="S88" s="6"/>
      <c r="T88" s="6"/>
      <c r="U88" s="6"/>
      <c r="V88" s="6"/>
      <c r="W88" s="6"/>
      <c r="X88" s="6"/>
      <c r="Y88" s="6"/>
      <c r="Z88" s="6"/>
    </row>
    <row r="89" spans="1:26" ht="15.75" customHeight="1">
      <c r="A89" s="6"/>
      <c r="B89" s="6"/>
      <c r="C89" s="6"/>
      <c r="D89" s="6"/>
      <c r="E89" s="18"/>
      <c r="F89" s="14"/>
      <c r="G89" s="6"/>
      <c r="H89" s="6"/>
      <c r="J89" s="6"/>
      <c r="K89" s="6"/>
      <c r="L89" s="6"/>
      <c r="M89" s="6"/>
      <c r="N89" s="6"/>
      <c r="O89" s="6"/>
      <c r="P89" s="6"/>
      <c r="Q89" s="6"/>
      <c r="R89" s="6"/>
      <c r="S89" s="6"/>
      <c r="T89" s="6"/>
      <c r="U89" s="6"/>
      <c r="V89" s="6"/>
      <c r="W89" s="6"/>
      <c r="X89" s="6"/>
      <c r="Y89" s="6"/>
      <c r="Z89" s="6"/>
    </row>
    <row r="90" spans="1:26" ht="15.75" customHeight="1">
      <c r="A90" s="6"/>
      <c r="B90" s="6"/>
      <c r="C90" s="6"/>
      <c r="D90" s="6"/>
      <c r="E90" s="18"/>
      <c r="F90" s="14"/>
      <c r="G90" s="6"/>
      <c r="H90" s="6"/>
      <c r="J90" s="6"/>
      <c r="K90" s="6"/>
      <c r="L90" s="6"/>
      <c r="M90" s="6"/>
      <c r="N90" s="6"/>
      <c r="O90" s="6"/>
      <c r="P90" s="6"/>
      <c r="Q90" s="6"/>
      <c r="R90" s="6"/>
      <c r="S90" s="6"/>
      <c r="T90" s="6"/>
      <c r="U90" s="6"/>
      <c r="V90" s="6"/>
      <c r="W90" s="6"/>
      <c r="X90" s="6"/>
      <c r="Y90" s="6"/>
      <c r="Z90" s="6"/>
    </row>
    <row r="91" spans="1:26" ht="15.75" customHeight="1">
      <c r="A91" s="6"/>
      <c r="B91" s="6"/>
      <c r="C91" s="6"/>
      <c r="D91" s="6"/>
      <c r="E91" s="18"/>
      <c r="F91" s="14"/>
      <c r="G91" s="6"/>
      <c r="H91" s="6"/>
      <c r="J91" s="6"/>
      <c r="K91" s="6"/>
      <c r="L91" s="6"/>
      <c r="M91" s="6"/>
      <c r="N91" s="6"/>
      <c r="O91" s="6"/>
      <c r="P91" s="6"/>
      <c r="Q91" s="6"/>
      <c r="R91" s="6"/>
      <c r="S91" s="6"/>
      <c r="T91" s="6"/>
      <c r="U91" s="6"/>
      <c r="V91" s="6"/>
      <c r="W91" s="6"/>
      <c r="X91" s="6"/>
      <c r="Y91" s="6"/>
      <c r="Z91" s="6"/>
    </row>
    <row r="92" spans="1:26" ht="15.75" customHeight="1">
      <c r="A92" s="6"/>
      <c r="B92" s="6"/>
      <c r="C92" s="6"/>
      <c r="D92" s="6"/>
      <c r="E92" s="18"/>
      <c r="F92" s="14"/>
      <c r="G92" s="6"/>
      <c r="H92" s="6"/>
      <c r="J92" s="6"/>
      <c r="K92" s="6"/>
      <c r="L92" s="6"/>
      <c r="M92" s="6"/>
      <c r="N92" s="6"/>
      <c r="O92" s="6"/>
      <c r="P92" s="6"/>
      <c r="Q92" s="6"/>
      <c r="R92" s="6"/>
      <c r="S92" s="6"/>
      <c r="T92" s="6"/>
      <c r="U92" s="6"/>
      <c r="V92" s="6"/>
      <c r="W92" s="6"/>
      <c r="X92" s="6"/>
      <c r="Y92" s="6"/>
      <c r="Z92" s="6"/>
    </row>
    <row r="93" spans="1:26" ht="15.75" customHeight="1">
      <c r="A93" s="6"/>
      <c r="B93" s="6"/>
      <c r="C93" s="6"/>
      <c r="D93" s="6"/>
      <c r="E93" s="18"/>
      <c r="F93" s="14"/>
      <c r="G93" s="6"/>
      <c r="H93" s="6"/>
      <c r="J93" s="6"/>
      <c r="K93" s="6"/>
      <c r="L93" s="6"/>
      <c r="M93" s="6"/>
      <c r="N93" s="6"/>
      <c r="O93" s="6"/>
      <c r="P93" s="6"/>
      <c r="Q93" s="6"/>
      <c r="R93" s="6"/>
      <c r="S93" s="6"/>
      <c r="T93" s="6"/>
      <c r="U93" s="6"/>
      <c r="V93" s="6"/>
      <c r="W93" s="6"/>
      <c r="X93" s="6"/>
      <c r="Y93" s="6"/>
      <c r="Z93" s="6"/>
    </row>
    <row r="94" spans="1:26" ht="15.75" customHeight="1">
      <c r="A94" s="6"/>
      <c r="B94" s="6"/>
      <c r="C94" s="6"/>
      <c r="D94" s="6"/>
      <c r="E94" s="18"/>
      <c r="F94" s="14"/>
      <c r="G94" s="6"/>
      <c r="H94" s="6"/>
      <c r="J94" s="6"/>
      <c r="K94" s="6"/>
      <c r="L94" s="6"/>
      <c r="M94" s="6"/>
      <c r="N94" s="6"/>
      <c r="O94" s="6"/>
      <c r="P94" s="6"/>
      <c r="Q94" s="6"/>
      <c r="R94" s="6"/>
      <c r="S94" s="6"/>
      <c r="T94" s="6"/>
      <c r="U94" s="6"/>
      <c r="V94" s="6"/>
      <c r="W94" s="6"/>
      <c r="X94" s="6"/>
      <c r="Y94" s="6"/>
      <c r="Z94" s="6"/>
    </row>
    <row r="95" spans="1:26" ht="15.75" customHeight="1">
      <c r="A95" s="6"/>
      <c r="B95" s="6"/>
      <c r="C95" s="6"/>
      <c r="D95" s="6"/>
      <c r="E95" s="18"/>
      <c r="F95" s="14"/>
      <c r="G95" s="6"/>
      <c r="H95" s="6"/>
      <c r="J95" s="6"/>
      <c r="K95" s="6"/>
      <c r="L95" s="6"/>
      <c r="M95" s="6"/>
      <c r="N95" s="6"/>
      <c r="O95" s="6"/>
      <c r="P95" s="6"/>
      <c r="Q95" s="6"/>
      <c r="R95" s="6"/>
      <c r="S95" s="6"/>
      <c r="T95" s="6"/>
      <c r="U95" s="6"/>
      <c r="V95" s="6"/>
      <c r="W95" s="6"/>
      <c r="X95" s="6"/>
      <c r="Y95" s="6"/>
      <c r="Z95" s="6"/>
    </row>
    <row r="96" spans="1:26" ht="15.75" customHeight="1">
      <c r="A96" s="6"/>
      <c r="B96" s="6"/>
      <c r="C96" s="6"/>
      <c r="D96" s="6"/>
      <c r="E96" s="18"/>
      <c r="F96" s="14"/>
      <c r="G96" s="6"/>
      <c r="H96" s="6"/>
      <c r="J96" s="6"/>
      <c r="K96" s="6"/>
      <c r="L96" s="6"/>
      <c r="M96" s="6"/>
      <c r="N96" s="6"/>
      <c r="O96" s="6"/>
      <c r="P96" s="6"/>
      <c r="Q96" s="6"/>
      <c r="R96" s="6"/>
      <c r="S96" s="6"/>
      <c r="T96" s="6"/>
      <c r="U96" s="6"/>
      <c r="V96" s="6"/>
      <c r="W96" s="6"/>
      <c r="X96" s="6"/>
      <c r="Y96" s="6"/>
      <c r="Z96" s="6"/>
    </row>
    <row r="97" spans="1:26" ht="15.75" customHeight="1">
      <c r="A97" s="6"/>
      <c r="B97" s="6"/>
      <c r="C97" s="6"/>
      <c r="D97" s="6"/>
      <c r="E97" s="18"/>
      <c r="F97" s="14"/>
      <c r="G97" s="6"/>
      <c r="H97" s="6"/>
      <c r="J97" s="6"/>
      <c r="K97" s="6"/>
      <c r="L97" s="6"/>
      <c r="M97" s="6"/>
      <c r="N97" s="6"/>
      <c r="O97" s="6"/>
      <c r="P97" s="6"/>
      <c r="Q97" s="6"/>
      <c r="R97" s="6"/>
      <c r="S97" s="6"/>
      <c r="T97" s="6"/>
      <c r="U97" s="6"/>
      <c r="V97" s="6"/>
      <c r="W97" s="6"/>
      <c r="X97" s="6"/>
      <c r="Y97" s="6"/>
      <c r="Z97" s="6"/>
    </row>
    <row r="98" spans="1:26" ht="15.75" customHeight="1">
      <c r="A98" s="6"/>
      <c r="B98" s="6"/>
      <c r="C98" s="6"/>
      <c r="D98" s="6"/>
      <c r="E98" s="18"/>
      <c r="F98" s="14"/>
      <c r="G98" s="6"/>
      <c r="H98" s="6"/>
      <c r="J98" s="6"/>
      <c r="K98" s="6"/>
      <c r="L98" s="6"/>
      <c r="M98" s="6"/>
      <c r="N98" s="6"/>
      <c r="O98" s="6"/>
      <c r="P98" s="6"/>
      <c r="Q98" s="6"/>
      <c r="R98" s="6"/>
      <c r="S98" s="6"/>
      <c r="T98" s="6"/>
      <c r="U98" s="6"/>
      <c r="V98" s="6"/>
      <c r="W98" s="6"/>
      <c r="X98" s="6"/>
      <c r="Y98" s="6"/>
      <c r="Z98" s="6"/>
    </row>
    <row r="99" spans="1:26" ht="15.75" customHeight="1">
      <c r="A99" s="6"/>
      <c r="B99" s="6"/>
      <c r="C99" s="6"/>
      <c r="D99" s="6"/>
      <c r="E99" s="18"/>
      <c r="F99" s="14"/>
      <c r="G99" s="6"/>
      <c r="H99" s="6"/>
      <c r="J99" s="6"/>
      <c r="K99" s="6"/>
      <c r="L99" s="6"/>
      <c r="M99" s="6"/>
      <c r="N99" s="6"/>
      <c r="O99" s="6"/>
      <c r="P99" s="6"/>
      <c r="Q99" s="6"/>
      <c r="R99" s="6"/>
      <c r="S99" s="6"/>
      <c r="T99" s="6"/>
      <c r="U99" s="6"/>
      <c r="V99" s="6"/>
      <c r="W99" s="6"/>
      <c r="X99" s="6"/>
      <c r="Y99" s="6"/>
      <c r="Z99" s="6"/>
    </row>
    <row r="100" spans="1:26" ht="15.75" customHeight="1">
      <c r="A100" s="6"/>
      <c r="B100" s="6"/>
      <c r="C100" s="6"/>
      <c r="D100" s="6"/>
      <c r="E100" s="18"/>
      <c r="F100" s="14"/>
      <c r="G100" s="6"/>
      <c r="H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18"/>
      <c r="F101" s="14"/>
      <c r="G101" s="6"/>
      <c r="H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18"/>
      <c r="F102" s="14"/>
      <c r="G102" s="6"/>
      <c r="H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18"/>
      <c r="F103" s="14"/>
      <c r="G103" s="6"/>
      <c r="H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18"/>
      <c r="F104" s="14"/>
      <c r="G104" s="6"/>
      <c r="H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18"/>
      <c r="F105" s="14"/>
      <c r="G105" s="6"/>
      <c r="H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18"/>
      <c r="F106" s="14"/>
      <c r="G106" s="6"/>
      <c r="H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18"/>
      <c r="F107" s="14"/>
      <c r="G107" s="6"/>
      <c r="H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18"/>
      <c r="F108" s="14"/>
      <c r="G108" s="6"/>
      <c r="H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18"/>
      <c r="F109" s="14"/>
      <c r="G109" s="6"/>
      <c r="H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18"/>
      <c r="F110" s="14"/>
      <c r="G110" s="6"/>
      <c r="H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18"/>
      <c r="F111" s="14"/>
      <c r="G111" s="6"/>
      <c r="H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18"/>
      <c r="F112" s="14"/>
      <c r="G112" s="6"/>
      <c r="H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18"/>
      <c r="F113" s="14"/>
      <c r="G113" s="6"/>
      <c r="H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18"/>
      <c r="F114" s="14"/>
      <c r="G114" s="6"/>
      <c r="H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18"/>
      <c r="F115" s="14"/>
      <c r="G115" s="6"/>
      <c r="H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18"/>
      <c r="F116" s="14"/>
      <c r="G116" s="6"/>
      <c r="H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18"/>
      <c r="F117" s="14"/>
      <c r="G117" s="6"/>
      <c r="H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18"/>
      <c r="F118" s="14"/>
      <c r="G118" s="6"/>
      <c r="H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18"/>
      <c r="F119" s="14"/>
      <c r="G119" s="6"/>
      <c r="H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18"/>
      <c r="F120" s="14"/>
      <c r="G120" s="6"/>
      <c r="H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18"/>
      <c r="F121" s="14"/>
      <c r="G121" s="6"/>
      <c r="H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18"/>
      <c r="F122" s="14"/>
      <c r="G122" s="6"/>
      <c r="H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18"/>
      <c r="F123" s="14"/>
      <c r="G123" s="6"/>
      <c r="H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18"/>
      <c r="F124" s="14"/>
      <c r="G124" s="6"/>
      <c r="H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18"/>
      <c r="F125" s="14"/>
      <c r="G125" s="6"/>
      <c r="H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18"/>
      <c r="F126" s="14"/>
      <c r="G126" s="6"/>
      <c r="H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18"/>
      <c r="F127" s="14"/>
      <c r="G127" s="6"/>
      <c r="H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18"/>
      <c r="F128" s="14"/>
      <c r="G128" s="6"/>
      <c r="H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18"/>
      <c r="F129" s="14"/>
      <c r="G129" s="6"/>
      <c r="H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18"/>
      <c r="F130" s="14"/>
      <c r="G130" s="6"/>
      <c r="H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18"/>
      <c r="F131" s="14"/>
      <c r="G131" s="6"/>
      <c r="H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18"/>
      <c r="F132" s="14"/>
      <c r="G132" s="6"/>
      <c r="H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18"/>
      <c r="F133" s="14"/>
      <c r="G133" s="6"/>
      <c r="H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18"/>
      <c r="F134" s="14"/>
      <c r="G134" s="6"/>
      <c r="H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18"/>
      <c r="F135" s="14"/>
      <c r="G135" s="6"/>
      <c r="H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18"/>
      <c r="F136" s="14"/>
      <c r="G136" s="6"/>
      <c r="H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18"/>
      <c r="F137" s="14"/>
      <c r="G137" s="6"/>
      <c r="H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18"/>
      <c r="F138" s="14"/>
      <c r="G138" s="6"/>
      <c r="H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18"/>
      <c r="F139" s="14"/>
      <c r="G139" s="6"/>
      <c r="H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18"/>
      <c r="F140" s="14"/>
      <c r="G140" s="6"/>
      <c r="H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18"/>
      <c r="F141" s="14"/>
      <c r="G141" s="6"/>
      <c r="H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18"/>
      <c r="F142" s="14"/>
      <c r="G142" s="6"/>
      <c r="H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18"/>
      <c r="F143" s="14"/>
      <c r="G143" s="6"/>
      <c r="H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18"/>
      <c r="F144" s="14"/>
      <c r="G144" s="6"/>
      <c r="H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18"/>
      <c r="F145" s="14"/>
      <c r="G145" s="6"/>
      <c r="H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18"/>
      <c r="F146" s="14"/>
      <c r="G146" s="6"/>
      <c r="H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18"/>
      <c r="F147" s="14"/>
      <c r="G147" s="6"/>
      <c r="H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18"/>
      <c r="F148" s="14"/>
      <c r="G148" s="6"/>
      <c r="H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18"/>
      <c r="F149" s="14"/>
      <c r="G149" s="6"/>
      <c r="H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18"/>
      <c r="F150" s="14"/>
      <c r="G150" s="6"/>
      <c r="H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18"/>
      <c r="F151" s="14"/>
      <c r="G151" s="6"/>
      <c r="H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18"/>
      <c r="F152" s="14"/>
      <c r="G152" s="6"/>
      <c r="H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18"/>
      <c r="F153" s="14"/>
      <c r="G153" s="6"/>
      <c r="H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18"/>
      <c r="F154" s="14"/>
      <c r="G154" s="6"/>
      <c r="H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18"/>
      <c r="F155" s="14"/>
      <c r="G155" s="6"/>
      <c r="H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18"/>
      <c r="F156" s="14"/>
      <c r="G156" s="6"/>
      <c r="H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18"/>
      <c r="F157" s="14"/>
      <c r="G157" s="6"/>
      <c r="H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18"/>
      <c r="F158" s="14"/>
      <c r="G158" s="6"/>
      <c r="H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18"/>
      <c r="F159" s="14"/>
      <c r="G159" s="6"/>
      <c r="H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18"/>
      <c r="F160" s="14"/>
      <c r="G160" s="6"/>
      <c r="H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18"/>
      <c r="F161" s="14"/>
      <c r="G161" s="6"/>
      <c r="H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18"/>
      <c r="F162" s="14"/>
      <c r="G162" s="6"/>
      <c r="H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18"/>
      <c r="F163" s="14"/>
      <c r="G163" s="6"/>
      <c r="H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18"/>
      <c r="F164" s="14"/>
      <c r="G164" s="6"/>
      <c r="H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18"/>
      <c r="F165" s="14"/>
      <c r="G165" s="6"/>
      <c r="H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18"/>
      <c r="F166" s="14"/>
      <c r="G166" s="6"/>
      <c r="H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18"/>
      <c r="F167" s="14"/>
      <c r="G167" s="6"/>
      <c r="H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18"/>
      <c r="F168" s="14"/>
      <c r="G168" s="6"/>
      <c r="H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18"/>
      <c r="F169" s="14"/>
      <c r="G169" s="6"/>
      <c r="H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18"/>
      <c r="F170" s="14"/>
      <c r="G170" s="6"/>
      <c r="H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18"/>
      <c r="F171" s="14"/>
      <c r="G171" s="6"/>
      <c r="H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18"/>
      <c r="F172" s="14"/>
      <c r="G172" s="6"/>
      <c r="H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18"/>
      <c r="F173" s="14"/>
      <c r="G173" s="6"/>
      <c r="H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18"/>
      <c r="F174" s="14"/>
      <c r="G174" s="6"/>
      <c r="H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18"/>
      <c r="F175" s="14"/>
      <c r="G175" s="6"/>
      <c r="H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18"/>
      <c r="F176" s="14"/>
      <c r="G176" s="6"/>
      <c r="H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18"/>
      <c r="F177" s="14"/>
      <c r="G177" s="6"/>
      <c r="H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18"/>
      <c r="F178" s="14"/>
      <c r="G178" s="6"/>
      <c r="H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18"/>
      <c r="F179" s="14"/>
      <c r="G179" s="6"/>
      <c r="H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18"/>
      <c r="F180" s="14"/>
      <c r="G180" s="6"/>
      <c r="H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18"/>
      <c r="F181" s="14"/>
      <c r="G181" s="6"/>
      <c r="H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18"/>
      <c r="F182" s="14"/>
      <c r="G182" s="6"/>
      <c r="H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18"/>
      <c r="F183" s="14"/>
      <c r="G183" s="6"/>
      <c r="H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18"/>
      <c r="F184" s="14"/>
      <c r="G184" s="6"/>
      <c r="H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18"/>
      <c r="F185" s="14"/>
      <c r="G185" s="6"/>
      <c r="H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18"/>
      <c r="F186" s="14"/>
      <c r="G186" s="6"/>
      <c r="H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18"/>
      <c r="F187" s="14"/>
      <c r="G187" s="6"/>
      <c r="H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18"/>
      <c r="F188" s="14"/>
      <c r="G188" s="6"/>
      <c r="H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18"/>
      <c r="F189" s="14"/>
      <c r="G189" s="6"/>
      <c r="H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18"/>
      <c r="F190" s="14"/>
      <c r="G190" s="6"/>
      <c r="H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18"/>
      <c r="F191" s="14"/>
      <c r="G191" s="6"/>
      <c r="H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18"/>
      <c r="F192" s="14"/>
      <c r="G192" s="6"/>
      <c r="H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18"/>
      <c r="F193" s="14"/>
      <c r="G193" s="6"/>
      <c r="H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18"/>
      <c r="F194" s="14"/>
      <c r="G194" s="6"/>
      <c r="H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18"/>
      <c r="F195" s="14"/>
      <c r="G195" s="6"/>
      <c r="H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18"/>
      <c r="F196" s="14"/>
      <c r="G196" s="6"/>
      <c r="H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18"/>
      <c r="F197" s="14"/>
      <c r="G197" s="6"/>
      <c r="H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18"/>
      <c r="F198" s="14"/>
      <c r="G198" s="6"/>
      <c r="H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18"/>
      <c r="F199" s="14"/>
      <c r="G199" s="6"/>
      <c r="H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18"/>
      <c r="F200" s="14"/>
      <c r="G200" s="6"/>
      <c r="H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18"/>
      <c r="F201" s="14"/>
      <c r="G201" s="6"/>
      <c r="H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18"/>
      <c r="F202" s="14"/>
      <c r="G202" s="6"/>
      <c r="H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18"/>
      <c r="F203" s="14"/>
      <c r="G203" s="6"/>
      <c r="H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18"/>
      <c r="F204" s="14"/>
      <c r="G204" s="6"/>
      <c r="H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18"/>
      <c r="F205" s="14"/>
      <c r="G205" s="6"/>
      <c r="H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18"/>
      <c r="F206" s="14"/>
      <c r="G206" s="6"/>
      <c r="H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18"/>
      <c r="F207" s="14"/>
      <c r="G207" s="6"/>
      <c r="H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18"/>
      <c r="F208" s="14"/>
      <c r="G208" s="6"/>
      <c r="H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18"/>
      <c r="F209" s="14"/>
      <c r="G209" s="6"/>
      <c r="H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18"/>
      <c r="F210" s="14"/>
      <c r="G210" s="6"/>
      <c r="H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18"/>
      <c r="F211" s="14"/>
      <c r="G211" s="6"/>
      <c r="H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18"/>
      <c r="F212" s="14"/>
      <c r="G212" s="6"/>
      <c r="H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18"/>
      <c r="F213" s="14"/>
      <c r="G213" s="6"/>
      <c r="H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18"/>
      <c r="F214" s="14"/>
      <c r="G214" s="6"/>
      <c r="H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18"/>
      <c r="F215" s="14"/>
      <c r="G215" s="6"/>
      <c r="H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18"/>
      <c r="F216" s="14"/>
      <c r="G216" s="6"/>
      <c r="H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18"/>
      <c r="F217" s="14"/>
      <c r="G217" s="6"/>
      <c r="H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18"/>
      <c r="F218" s="14"/>
      <c r="G218" s="6"/>
      <c r="H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18"/>
      <c r="F219" s="14"/>
      <c r="G219" s="6"/>
      <c r="H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18"/>
      <c r="F220" s="14"/>
      <c r="G220" s="6"/>
      <c r="H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18"/>
      <c r="F221" s="14"/>
      <c r="G221" s="6"/>
      <c r="H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18"/>
      <c r="F222" s="14"/>
      <c r="G222" s="6"/>
      <c r="H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18"/>
      <c r="F223" s="14"/>
      <c r="G223" s="6"/>
      <c r="H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18"/>
      <c r="F224" s="14"/>
      <c r="G224" s="6"/>
      <c r="H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18"/>
      <c r="F225" s="14"/>
      <c r="G225" s="6"/>
      <c r="H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18"/>
      <c r="F226" s="14"/>
      <c r="G226" s="6"/>
      <c r="H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18"/>
      <c r="F227" s="14"/>
      <c r="G227" s="6"/>
      <c r="H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18"/>
      <c r="F228" s="14"/>
      <c r="G228" s="6"/>
      <c r="H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18"/>
      <c r="F229" s="14"/>
      <c r="G229" s="6"/>
      <c r="H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18"/>
      <c r="F230" s="14"/>
      <c r="G230" s="6"/>
      <c r="H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18"/>
      <c r="F231" s="14"/>
      <c r="G231" s="6"/>
      <c r="H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18"/>
      <c r="F232" s="14"/>
      <c r="G232" s="6"/>
      <c r="H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18"/>
      <c r="F233" s="14"/>
      <c r="G233" s="6"/>
      <c r="H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18"/>
      <c r="F234" s="14"/>
      <c r="G234" s="6"/>
      <c r="H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18"/>
      <c r="F235" s="14"/>
      <c r="G235" s="6"/>
      <c r="H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18"/>
      <c r="F236" s="14"/>
      <c r="G236" s="6"/>
      <c r="H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18"/>
      <c r="F237" s="14"/>
      <c r="G237" s="6"/>
      <c r="H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18"/>
      <c r="F238" s="14"/>
      <c r="G238" s="6"/>
      <c r="H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18"/>
      <c r="F239" s="14"/>
      <c r="G239" s="6"/>
      <c r="H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18"/>
      <c r="F240" s="14"/>
      <c r="G240" s="6"/>
      <c r="H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18"/>
      <c r="F241" s="14"/>
      <c r="G241" s="6"/>
      <c r="H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18"/>
      <c r="F242" s="14"/>
      <c r="G242" s="6"/>
      <c r="H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18"/>
      <c r="F243" s="14"/>
      <c r="G243" s="6"/>
      <c r="H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18"/>
      <c r="F244" s="14"/>
      <c r="G244" s="6"/>
      <c r="H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18"/>
      <c r="F245" s="14"/>
      <c r="G245" s="6"/>
      <c r="H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18"/>
      <c r="F246" s="14"/>
      <c r="G246" s="6"/>
      <c r="H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18"/>
      <c r="F247" s="14"/>
      <c r="G247" s="6"/>
      <c r="H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18"/>
      <c r="F248" s="14"/>
      <c r="G248" s="6"/>
      <c r="H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18"/>
      <c r="F249" s="14"/>
      <c r="G249" s="6"/>
      <c r="H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18"/>
      <c r="F250" s="14"/>
      <c r="G250" s="6"/>
      <c r="H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18"/>
      <c r="F251" s="14"/>
      <c r="G251" s="6"/>
      <c r="H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18"/>
      <c r="F252" s="14"/>
      <c r="G252" s="6"/>
      <c r="H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18"/>
      <c r="F253" s="14"/>
      <c r="G253" s="6"/>
      <c r="H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18"/>
      <c r="F254" s="14"/>
      <c r="G254" s="6"/>
      <c r="H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18"/>
      <c r="F255" s="14"/>
      <c r="G255" s="6"/>
      <c r="H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18"/>
      <c r="F256" s="14"/>
      <c r="G256" s="6"/>
      <c r="H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18"/>
      <c r="F257" s="14"/>
      <c r="G257" s="6"/>
      <c r="H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18"/>
      <c r="F258" s="14"/>
      <c r="G258" s="6"/>
      <c r="H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18"/>
      <c r="F259" s="14"/>
      <c r="G259" s="6"/>
      <c r="H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18"/>
      <c r="F260" s="14"/>
      <c r="G260" s="6"/>
      <c r="H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18"/>
      <c r="F261" s="14"/>
      <c r="G261" s="6"/>
      <c r="H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18"/>
      <c r="F262" s="14"/>
      <c r="G262" s="6"/>
      <c r="H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18"/>
      <c r="F263" s="14"/>
      <c r="G263" s="6"/>
      <c r="H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18"/>
      <c r="F264" s="14"/>
      <c r="G264" s="6"/>
      <c r="H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18"/>
      <c r="F265" s="14"/>
      <c r="G265" s="6"/>
      <c r="H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18"/>
      <c r="F266" s="14"/>
      <c r="G266" s="6"/>
      <c r="H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18"/>
      <c r="F267" s="14"/>
      <c r="G267" s="6"/>
      <c r="H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18"/>
      <c r="F268" s="14"/>
      <c r="G268" s="6"/>
      <c r="H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18"/>
      <c r="F269" s="14"/>
      <c r="G269" s="6"/>
      <c r="H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18"/>
      <c r="F270" s="14"/>
      <c r="G270" s="6"/>
      <c r="H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18"/>
      <c r="F271" s="14"/>
      <c r="G271" s="6"/>
      <c r="H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18"/>
      <c r="F272" s="14"/>
      <c r="G272" s="6"/>
      <c r="H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18"/>
      <c r="F273" s="14"/>
      <c r="G273" s="6"/>
      <c r="H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18"/>
      <c r="F274" s="14"/>
      <c r="G274" s="6"/>
      <c r="H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18"/>
      <c r="F275" s="14"/>
      <c r="G275" s="6"/>
      <c r="H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18"/>
      <c r="F276" s="14"/>
      <c r="G276" s="6"/>
      <c r="H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18"/>
      <c r="F277" s="14"/>
      <c r="G277" s="6"/>
      <c r="H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18"/>
      <c r="F278" s="14"/>
      <c r="G278" s="6"/>
      <c r="H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18"/>
      <c r="F279" s="14"/>
      <c r="G279" s="6"/>
      <c r="H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18"/>
      <c r="F280" s="14"/>
      <c r="G280" s="6"/>
      <c r="H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18"/>
      <c r="F281" s="14"/>
      <c r="G281" s="6"/>
      <c r="H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18"/>
      <c r="F282" s="14"/>
      <c r="G282" s="6"/>
      <c r="H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18"/>
      <c r="F283" s="14"/>
      <c r="G283" s="6"/>
      <c r="H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18"/>
      <c r="F284" s="14"/>
      <c r="G284" s="6"/>
      <c r="H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18"/>
      <c r="F285" s="14"/>
      <c r="G285" s="6"/>
      <c r="H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18"/>
      <c r="F286" s="14"/>
      <c r="G286" s="6"/>
      <c r="H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18"/>
      <c r="F287" s="14"/>
      <c r="G287" s="6"/>
      <c r="H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18"/>
      <c r="F288" s="14"/>
      <c r="G288" s="6"/>
      <c r="H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18"/>
      <c r="F289" s="14"/>
      <c r="G289" s="6"/>
      <c r="H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18"/>
      <c r="F290" s="14"/>
      <c r="G290" s="6"/>
      <c r="H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18"/>
      <c r="F291" s="14"/>
      <c r="G291" s="6"/>
      <c r="H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18"/>
      <c r="F292" s="14"/>
      <c r="G292" s="6"/>
      <c r="H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18"/>
      <c r="F293" s="14"/>
      <c r="G293" s="6"/>
      <c r="H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18"/>
      <c r="F294" s="14"/>
      <c r="G294" s="6"/>
      <c r="H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18"/>
      <c r="F295" s="14"/>
      <c r="G295" s="6"/>
      <c r="H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18"/>
      <c r="F296" s="14"/>
      <c r="G296" s="6"/>
      <c r="H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18"/>
      <c r="F297" s="14"/>
      <c r="G297" s="6"/>
      <c r="H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18"/>
      <c r="F298" s="14"/>
      <c r="G298" s="6"/>
      <c r="H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18"/>
      <c r="F299" s="14"/>
      <c r="G299" s="6"/>
      <c r="H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18"/>
      <c r="F300" s="14"/>
      <c r="G300" s="6"/>
      <c r="H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18"/>
      <c r="F301" s="14"/>
      <c r="G301" s="6"/>
      <c r="H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18"/>
      <c r="F302" s="14"/>
      <c r="G302" s="6"/>
      <c r="H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18"/>
      <c r="F303" s="14"/>
      <c r="G303" s="6"/>
      <c r="H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18"/>
      <c r="F304" s="14"/>
      <c r="G304" s="6"/>
      <c r="H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18"/>
      <c r="F305" s="14"/>
      <c r="G305" s="6"/>
      <c r="H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18"/>
      <c r="F306" s="14"/>
      <c r="G306" s="6"/>
      <c r="H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18"/>
      <c r="F307" s="14"/>
      <c r="G307" s="6"/>
      <c r="H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18"/>
      <c r="F308" s="14"/>
      <c r="G308" s="6"/>
      <c r="H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18"/>
      <c r="F309" s="14"/>
      <c r="G309" s="6"/>
      <c r="H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18"/>
      <c r="F310" s="14"/>
      <c r="G310" s="6"/>
      <c r="H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18"/>
      <c r="F311" s="14"/>
      <c r="G311" s="6"/>
      <c r="H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18"/>
      <c r="F312" s="14"/>
      <c r="G312" s="6"/>
      <c r="H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18"/>
      <c r="F313" s="14"/>
      <c r="G313" s="6"/>
      <c r="H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18"/>
      <c r="F314" s="14"/>
      <c r="G314" s="6"/>
      <c r="H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18"/>
      <c r="F315" s="14"/>
      <c r="G315" s="6"/>
      <c r="H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18"/>
      <c r="F316" s="14"/>
      <c r="G316" s="6"/>
      <c r="H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18"/>
      <c r="F317" s="14"/>
      <c r="G317" s="6"/>
      <c r="H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18"/>
      <c r="F318" s="14"/>
      <c r="G318" s="6"/>
      <c r="H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18"/>
      <c r="F319" s="14"/>
      <c r="G319" s="6"/>
      <c r="H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18"/>
      <c r="F320" s="14"/>
      <c r="G320" s="6"/>
      <c r="H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18"/>
      <c r="F321" s="14"/>
      <c r="G321" s="6"/>
      <c r="H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18"/>
      <c r="F322" s="14"/>
      <c r="G322" s="6"/>
      <c r="H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18"/>
      <c r="F323" s="14"/>
      <c r="G323" s="6"/>
      <c r="H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18"/>
      <c r="F324" s="14"/>
      <c r="G324" s="6"/>
      <c r="H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18"/>
      <c r="F325" s="14"/>
      <c r="G325" s="6"/>
      <c r="H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18"/>
      <c r="F326" s="14"/>
      <c r="G326" s="6"/>
      <c r="H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18"/>
      <c r="F327" s="14"/>
      <c r="G327" s="6"/>
      <c r="H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18"/>
      <c r="F328" s="14"/>
      <c r="G328" s="6"/>
      <c r="H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18"/>
      <c r="F329" s="14"/>
      <c r="G329" s="6"/>
      <c r="H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18"/>
      <c r="F330" s="14"/>
      <c r="G330" s="6"/>
      <c r="H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18"/>
      <c r="F331" s="14"/>
      <c r="G331" s="6"/>
      <c r="H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18"/>
      <c r="F332" s="14"/>
      <c r="G332" s="6"/>
      <c r="H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18"/>
      <c r="F333" s="14"/>
      <c r="G333" s="6"/>
      <c r="H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18"/>
      <c r="F334" s="14"/>
      <c r="G334" s="6"/>
      <c r="H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18"/>
      <c r="F335" s="14"/>
      <c r="G335" s="6"/>
      <c r="H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18"/>
      <c r="F336" s="14"/>
      <c r="G336" s="6"/>
      <c r="H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18"/>
      <c r="F337" s="14"/>
      <c r="G337" s="6"/>
      <c r="H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18"/>
      <c r="F338" s="14"/>
      <c r="G338" s="6"/>
      <c r="H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18"/>
      <c r="F339" s="14"/>
      <c r="G339" s="6"/>
      <c r="H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18"/>
      <c r="F340" s="14"/>
      <c r="G340" s="6"/>
      <c r="H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18"/>
      <c r="F341" s="14"/>
      <c r="G341" s="6"/>
      <c r="H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18"/>
      <c r="F342" s="14"/>
      <c r="G342" s="6"/>
      <c r="H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18"/>
      <c r="F343" s="14"/>
      <c r="G343" s="6"/>
      <c r="H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18"/>
      <c r="F344" s="14"/>
      <c r="G344" s="6"/>
      <c r="H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18"/>
      <c r="F345" s="14"/>
      <c r="G345" s="6"/>
      <c r="H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18"/>
      <c r="F346" s="14"/>
      <c r="G346" s="6"/>
      <c r="H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18"/>
      <c r="F347" s="14"/>
      <c r="G347" s="6"/>
      <c r="H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18"/>
      <c r="F348" s="14"/>
      <c r="G348" s="6"/>
      <c r="H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18"/>
      <c r="F349" s="14"/>
      <c r="G349" s="6"/>
      <c r="H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18"/>
      <c r="F350" s="14"/>
      <c r="G350" s="6"/>
      <c r="H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18"/>
      <c r="F351" s="14"/>
      <c r="G351" s="6"/>
      <c r="H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18"/>
      <c r="F352" s="14"/>
      <c r="G352" s="6"/>
      <c r="H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18"/>
      <c r="F353" s="14"/>
      <c r="G353" s="6"/>
      <c r="H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18"/>
      <c r="F354" s="14"/>
      <c r="G354" s="6"/>
      <c r="H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18"/>
      <c r="F355" s="14"/>
      <c r="G355" s="6"/>
      <c r="H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18"/>
      <c r="F356" s="14"/>
      <c r="G356" s="6"/>
      <c r="H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18"/>
      <c r="F357" s="14"/>
      <c r="G357" s="6"/>
      <c r="H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18"/>
      <c r="F358" s="14"/>
      <c r="G358" s="6"/>
      <c r="H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18"/>
      <c r="F359" s="14"/>
      <c r="G359" s="6"/>
      <c r="H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18"/>
      <c r="F360" s="14"/>
      <c r="G360" s="6"/>
      <c r="H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18"/>
      <c r="F361" s="14"/>
      <c r="G361" s="6"/>
      <c r="H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18"/>
      <c r="F362" s="14"/>
      <c r="G362" s="6"/>
      <c r="H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18"/>
      <c r="F363" s="14"/>
      <c r="G363" s="6"/>
      <c r="H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18"/>
      <c r="F364" s="14"/>
      <c r="G364" s="6"/>
      <c r="H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18"/>
      <c r="F365" s="14"/>
      <c r="G365" s="6"/>
      <c r="H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18"/>
      <c r="F366" s="14"/>
      <c r="G366" s="6"/>
      <c r="H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18"/>
      <c r="F367" s="14"/>
      <c r="G367" s="6"/>
      <c r="H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18"/>
      <c r="F368" s="14"/>
      <c r="G368" s="6"/>
      <c r="H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18"/>
      <c r="F369" s="14"/>
      <c r="G369" s="6"/>
      <c r="H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18"/>
      <c r="F370" s="14"/>
      <c r="G370" s="6"/>
      <c r="H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18"/>
      <c r="F371" s="14"/>
      <c r="G371" s="6"/>
      <c r="H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18"/>
      <c r="F372" s="14"/>
      <c r="G372" s="6"/>
      <c r="H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18"/>
      <c r="F373" s="14"/>
      <c r="G373" s="6"/>
      <c r="H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18"/>
      <c r="F374" s="14"/>
      <c r="G374" s="6"/>
      <c r="H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18"/>
      <c r="F375" s="14"/>
      <c r="G375" s="6"/>
      <c r="H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18"/>
      <c r="F376" s="14"/>
      <c r="G376" s="6"/>
      <c r="H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18"/>
      <c r="F377" s="14"/>
      <c r="G377" s="6"/>
      <c r="H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18"/>
      <c r="F378" s="14"/>
      <c r="G378" s="6"/>
      <c r="H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18"/>
      <c r="F379" s="14"/>
      <c r="G379" s="6"/>
      <c r="H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18"/>
      <c r="F380" s="14"/>
      <c r="G380" s="6"/>
      <c r="H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18"/>
      <c r="F381" s="14"/>
      <c r="G381" s="6"/>
      <c r="H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18"/>
      <c r="F382" s="14"/>
      <c r="G382" s="6"/>
      <c r="H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18"/>
      <c r="F383" s="14"/>
      <c r="G383" s="6"/>
      <c r="H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18"/>
      <c r="F384" s="14"/>
      <c r="G384" s="6"/>
      <c r="H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18"/>
      <c r="F385" s="14"/>
      <c r="G385" s="6"/>
      <c r="H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18"/>
      <c r="F386" s="14"/>
      <c r="G386" s="6"/>
      <c r="H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18"/>
      <c r="F387" s="14"/>
      <c r="G387" s="6"/>
      <c r="H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18"/>
      <c r="F388" s="14"/>
      <c r="G388" s="6"/>
      <c r="H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18"/>
      <c r="F389" s="14"/>
      <c r="G389" s="6"/>
      <c r="H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18"/>
      <c r="F390" s="14"/>
      <c r="G390" s="6"/>
      <c r="H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18"/>
      <c r="F391" s="14"/>
      <c r="G391" s="6"/>
      <c r="H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18"/>
      <c r="F392" s="14"/>
      <c r="G392" s="6"/>
      <c r="H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18"/>
      <c r="F393" s="14"/>
      <c r="G393" s="6"/>
      <c r="H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18"/>
      <c r="F394" s="14"/>
      <c r="G394" s="6"/>
      <c r="H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18"/>
      <c r="F395" s="14"/>
      <c r="G395" s="6"/>
      <c r="H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18"/>
      <c r="F396" s="14"/>
      <c r="G396" s="6"/>
      <c r="H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18"/>
      <c r="F397" s="14"/>
      <c r="G397" s="6"/>
      <c r="H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18"/>
      <c r="F398" s="14"/>
      <c r="G398" s="6"/>
      <c r="H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18"/>
      <c r="F399" s="14"/>
      <c r="G399" s="6"/>
      <c r="H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18"/>
      <c r="F400" s="14"/>
      <c r="G400" s="6"/>
      <c r="H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18"/>
      <c r="F401" s="14"/>
      <c r="G401" s="6"/>
      <c r="H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18"/>
      <c r="F402" s="14"/>
      <c r="G402" s="6"/>
      <c r="H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18"/>
      <c r="F403" s="14"/>
      <c r="G403" s="6"/>
      <c r="H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18"/>
      <c r="F404" s="14"/>
      <c r="G404" s="6"/>
      <c r="H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18"/>
      <c r="F405" s="14"/>
      <c r="G405" s="6"/>
      <c r="H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18"/>
      <c r="F406" s="14"/>
      <c r="G406" s="6"/>
      <c r="H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18"/>
      <c r="F407" s="14"/>
      <c r="G407" s="6"/>
      <c r="H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18"/>
      <c r="F408" s="14"/>
      <c r="G408" s="6"/>
      <c r="H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18"/>
      <c r="F409" s="14"/>
      <c r="G409" s="6"/>
      <c r="H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18"/>
      <c r="F410" s="14"/>
      <c r="G410" s="6"/>
      <c r="H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18"/>
      <c r="F411" s="14"/>
      <c r="G411" s="6"/>
      <c r="H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18"/>
      <c r="F412" s="14"/>
      <c r="G412" s="6"/>
      <c r="H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18"/>
      <c r="F413" s="14"/>
      <c r="G413" s="6"/>
      <c r="H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18"/>
      <c r="F414" s="14"/>
      <c r="G414" s="6"/>
      <c r="H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18"/>
      <c r="F415" s="14"/>
      <c r="G415" s="6"/>
      <c r="H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18"/>
      <c r="F416" s="14"/>
      <c r="G416" s="6"/>
      <c r="H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18"/>
      <c r="F417" s="14"/>
      <c r="G417" s="6"/>
      <c r="H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18"/>
      <c r="F418" s="14"/>
      <c r="G418" s="6"/>
      <c r="H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18"/>
      <c r="F419" s="14"/>
      <c r="G419" s="6"/>
      <c r="H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18"/>
      <c r="F420" s="14"/>
      <c r="G420" s="6"/>
      <c r="H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18"/>
      <c r="F421" s="14"/>
      <c r="G421" s="6"/>
      <c r="H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18"/>
      <c r="F422" s="14"/>
      <c r="G422" s="6"/>
      <c r="H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18"/>
      <c r="F423" s="14"/>
      <c r="G423" s="6"/>
      <c r="H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18"/>
      <c r="F424" s="14"/>
      <c r="G424" s="6"/>
      <c r="H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18"/>
      <c r="F425" s="14"/>
      <c r="G425" s="6"/>
      <c r="H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18"/>
      <c r="F426" s="14"/>
      <c r="G426" s="6"/>
      <c r="H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18"/>
      <c r="F427" s="14"/>
      <c r="G427" s="6"/>
      <c r="H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18"/>
      <c r="F428" s="14"/>
      <c r="G428" s="6"/>
      <c r="H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18"/>
      <c r="F429" s="14"/>
      <c r="G429" s="6"/>
      <c r="H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18"/>
      <c r="F430" s="14"/>
      <c r="G430" s="6"/>
      <c r="H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18"/>
      <c r="F431" s="14"/>
      <c r="G431" s="6"/>
      <c r="H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18"/>
      <c r="F432" s="14"/>
      <c r="G432" s="6"/>
      <c r="H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18"/>
      <c r="F433" s="14"/>
      <c r="G433" s="6"/>
      <c r="H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18"/>
      <c r="F434" s="14"/>
      <c r="G434" s="6"/>
      <c r="H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18"/>
      <c r="F435" s="14"/>
      <c r="G435" s="6"/>
      <c r="H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18"/>
      <c r="F436" s="14"/>
      <c r="G436" s="6"/>
      <c r="H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18"/>
      <c r="F437" s="14"/>
      <c r="G437" s="6"/>
      <c r="H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18"/>
      <c r="F438" s="14"/>
      <c r="G438" s="6"/>
      <c r="H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18"/>
      <c r="F439" s="14"/>
      <c r="G439" s="6"/>
      <c r="H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18"/>
      <c r="F440" s="14"/>
      <c r="G440" s="6"/>
      <c r="H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18"/>
      <c r="F441" s="14"/>
      <c r="G441" s="6"/>
      <c r="H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18"/>
      <c r="F442" s="14"/>
      <c r="G442" s="6"/>
      <c r="H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18"/>
      <c r="F443" s="14"/>
      <c r="G443" s="6"/>
      <c r="H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18"/>
      <c r="F444" s="14"/>
      <c r="G444" s="6"/>
      <c r="H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18"/>
      <c r="F445" s="14"/>
      <c r="G445" s="6"/>
      <c r="H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18"/>
      <c r="F446" s="14"/>
      <c r="G446" s="6"/>
      <c r="H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18"/>
      <c r="F447" s="14"/>
      <c r="G447" s="6"/>
      <c r="H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18"/>
      <c r="F448" s="14"/>
      <c r="G448" s="6"/>
      <c r="H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18"/>
      <c r="F449" s="14"/>
      <c r="G449" s="6"/>
      <c r="H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18"/>
      <c r="F450" s="14"/>
      <c r="G450" s="6"/>
      <c r="H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18"/>
      <c r="F451" s="14"/>
      <c r="G451" s="6"/>
      <c r="H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18"/>
      <c r="F452" s="14"/>
      <c r="G452" s="6"/>
      <c r="H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18"/>
      <c r="F453" s="14"/>
      <c r="G453" s="6"/>
      <c r="H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18"/>
      <c r="F454" s="14"/>
      <c r="G454" s="6"/>
      <c r="H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18"/>
      <c r="F455" s="14"/>
      <c r="G455" s="6"/>
      <c r="H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18"/>
      <c r="F456" s="14"/>
      <c r="G456" s="6"/>
      <c r="H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18"/>
      <c r="F457" s="14"/>
      <c r="G457" s="6"/>
      <c r="H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18"/>
      <c r="F458" s="14"/>
      <c r="G458" s="6"/>
      <c r="H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18"/>
      <c r="F459" s="14"/>
      <c r="G459" s="6"/>
      <c r="H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18"/>
      <c r="F460" s="14"/>
      <c r="G460" s="6"/>
      <c r="H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18"/>
      <c r="F461" s="14"/>
      <c r="G461" s="6"/>
      <c r="H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18"/>
      <c r="F462" s="14"/>
      <c r="G462" s="6"/>
      <c r="H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18"/>
      <c r="F463" s="14"/>
      <c r="G463" s="6"/>
      <c r="H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18"/>
      <c r="F464" s="14"/>
      <c r="G464" s="6"/>
      <c r="H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18"/>
      <c r="F465" s="14"/>
      <c r="G465" s="6"/>
      <c r="H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18"/>
      <c r="F466" s="14"/>
      <c r="G466" s="6"/>
      <c r="H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18"/>
      <c r="F467" s="14"/>
      <c r="G467" s="6"/>
      <c r="H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18"/>
      <c r="F468" s="14"/>
      <c r="G468" s="6"/>
      <c r="H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18"/>
      <c r="F469" s="14"/>
      <c r="G469" s="6"/>
      <c r="H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18"/>
      <c r="F470" s="14"/>
      <c r="G470" s="6"/>
      <c r="H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18"/>
      <c r="F471" s="14"/>
      <c r="G471" s="6"/>
      <c r="H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18"/>
      <c r="F472" s="14"/>
      <c r="G472" s="6"/>
      <c r="H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18"/>
      <c r="F473" s="14"/>
      <c r="G473" s="6"/>
      <c r="H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18"/>
      <c r="F474" s="14"/>
      <c r="G474" s="6"/>
      <c r="H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18"/>
      <c r="F475" s="14"/>
      <c r="G475" s="6"/>
      <c r="H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18"/>
      <c r="F476" s="14"/>
      <c r="G476" s="6"/>
      <c r="H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18"/>
      <c r="F477" s="14"/>
      <c r="G477" s="6"/>
      <c r="H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18"/>
      <c r="F478" s="14"/>
      <c r="G478" s="6"/>
      <c r="H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18"/>
      <c r="F479" s="14"/>
      <c r="G479" s="6"/>
      <c r="H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18"/>
      <c r="F480" s="14"/>
      <c r="G480" s="6"/>
      <c r="H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18"/>
      <c r="F481" s="14"/>
      <c r="G481" s="6"/>
      <c r="H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18"/>
      <c r="F482" s="14"/>
      <c r="G482" s="6"/>
      <c r="H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18"/>
      <c r="F483" s="14"/>
      <c r="G483" s="6"/>
      <c r="H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18"/>
      <c r="F484" s="14"/>
      <c r="G484" s="6"/>
      <c r="H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18"/>
      <c r="F485" s="14"/>
      <c r="G485" s="6"/>
      <c r="H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18"/>
      <c r="F486" s="14"/>
      <c r="G486" s="6"/>
      <c r="H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18"/>
      <c r="F487" s="14"/>
      <c r="G487" s="6"/>
      <c r="H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18"/>
      <c r="F488" s="14"/>
      <c r="G488" s="6"/>
      <c r="H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18"/>
      <c r="F489" s="14"/>
      <c r="G489" s="6"/>
      <c r="H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18"/>
      <c r="F490" s="14"/>
      <c r="G490" s="6"/>
      <c r="H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18"/>
      <c r="F491" s="14"/>
      <c r="G491" s="6"/>
      <c r="H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18"/>
      <c r="F492" s="14"/>
      <c r="G492" s="6"/>
      <c r="H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18"/>
      <c r="F493" s="14"/>
      <c r="G493" s="6"/>
      <c r="H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18"/>
      <c r="F494" s="14"/>
      <c r="G494" s="6"/>
      <c r="H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18"/>
      <c r="F495" s="14"/>
      <c r="G495" s="6"/>
      <c r="H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18"/>
      <c r="F496" s="14"/>
      <c r="G496" s="6"/>
      <c r="H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18"/>
      <c r="F497" s="14"/>
      <c r="G497" s="6"/>
      <c r="H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18"/>
      <c r="F498" s="14"/>
      <c r="G498" s="6"/>
      <c r="H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18"/>
      <c r="F499" s="14"/>
      <c r="G499" s="6"/>
      <c r="H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18"/>
      <c r="F500" s="14"/>
      <c r="G500" s="6"/>
      <c r="H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18"/>
      <c r="F501" s="14"/>
      <c r="G501" s="6"/>
      <c r="H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18"/>
      <c r="F502" s="14"/>
      <c r="G502" s="6"/>
      <c r="H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18"/>
      <c r="F503" s="14"/>
      <c r="G503" s="6"/>
      <c r="H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18"/>
      <c r="F504" s="14"/>
      <c r="G504" s="6"/>
      <c r="H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18"/>
      <c r="F505" s="14"/>
      <c r="G505" s="6"/>
      <c r="H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18"/>
      <c r="F506" s="14"/>
      <c r="G506" s="6"/>
      <c r="H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18"/>
      <c r="F507" s="14"/>
      <c r="G507" s="6"/>
      <c r="H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18"/>
      <c r="F508" s="14"/>
      <c r="G508" s="6"/>
      <c r="H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18"/>
      <c r="F509" s="14"/>
      <c r="G509" s="6"/>
      <c r="H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18"/>
      <c r="F510" s="14"/>
      <c r="G510" s="6"/>
      <c r="H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18"/>
      <c r="F511" s="14"/>
      <c r="G511" s="6"/>
      <c r="H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18"/>
      <c r="F512" s="14"/>
      <c r="G512" s="6"/>
      <c r="H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18"/>
      <c r="F513" s="14"/>
      <c r="G513" s="6"/>
      <c r="H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18"/>
      <c r="F514" s="14"/>
      <c r="G514" s="6"/>
      <c r="H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18"/>
      <c r="F515" s="14"/>
      <c r="G515" s="6"/>
      <c r="H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18"/>
      <c r="F516" s="14"/>
      <c r="G516" s="6"/>
      <c r="H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18"/>
      <c r="F517" s="14"/>
      <c r="G517" s="6"/>
      <c r="H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18"/>
      <c r="F518" s="14"/>
      <c r="G518" s="6"/>
      <c r="H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18"/>
      <c r="F519" s="14"/>
      <c r="G519" s="6"/>
      <c r="H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18"/>
      <c r="F520" s="14"/>
      <c r="G520" s="6"/>
      <c r="H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18"/>
      <c r="F521" s="14"/>
      <c r="G521" s="6"/>
      <c r="H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18"/>
      <c r="F522" s="14"/>
      <c r="G522" s="6"/>
      <c r="H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18"/>
      <c r="F523" s="14"/>
      <c r="G523" s="6"/>
      <c r="H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18"/>
      <c r="F524" s="14"/>
      <c r="G524" s="6"/>
      <c r="H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18"/>
      <c r="F525" s="14"/>
      <c r="G525" s="6"/>
      <c r="H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18"/>
      <c r="F526" s="14"/>
      <c r="G526" s="6"/>
      <c r="H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18"/>
      <c r="F527" s="14"/>
      <c r="G527" s="6"/>
      <c r="H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18"/>
      <c r="F528" s="14"/>
      <c r="G528" s="6"/>
      <c r="H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18"/>
      <c r="F529" s="14"/>
      <c r="G529" s="6"/>
      <c r="H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18"/>
      <c r="F530" s="14"/>
      <c r="G530" s="6"/>
      <c r="H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18"/>
      <c r="F531" s="14"/>
      <c r="G531" s="6"/>
      <c r="H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18"/>
      <c r="F532" s="14"/>
      <c r="G532" s="6"/>
      <c r="H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18"/>
      <c r="F533" s="14"/>
      <c r="G533" s="6"/>
      <c r="H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18"/>
      <c r="F534" s="14"/>
      <c r="G534" s="6"/>
      <c r="H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18"/>
      <c r="F535" s="14"/>
      <c r="G535" s="6"/>
      <c r="H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18"/>
      <c r="F536" s="14"/>
      <c r="G536" s="6"/>
      <c r="H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18"/>
      <c r="F537" s="14"/>
      <c r="G537" s="6"/>
      <c r="H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18"/>
      <c r="F538" s="14"/>
      <c r="G538" s="6"/>
      <c r="H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18"/>
      <c r="F539" s="14"/>
      <c r="G539" s="6"/>
      <c r="H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18"/>
      <c r="F540" s="14"/>
      <c r="G540" s="6"/>
      <c r="H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18"/>
      <c r="F541" s="14"/>
      <c r="G541" s="6"/>
      <c r="H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18"/>
      <c r="F542" s="14"/>
      <c r="G542" s="6"/>
      <c r="H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18"/>
      <c r="F543" s="14"/>
      <c r="G543" s="6"/>
      <c r="H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18"/>
      <c r="F544" s="14"/>
      <c r="G544" s="6"/>
      <c r="H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18"/>
      <c r="F545" s="14"/>
      <c r="G545" s="6"/>
      <c r="H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18"/>
      <c r="F546" s="14"/>
      <c r="G546" s="6"/>
      <c r="H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18"/>
      <c r="F547" s="14"/>
      <c r="G547" s="6"/>
      <c r="H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18"/>
      <c r="F548" s="14"/>
      <c r="G548" s="6"/>
      <c r="H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18"/>
      <c r="F549" s="14"/>
      <c r="G549" s="6"/>
      <c r="H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18"/>
      <c r="F550" s="14"/>
      <c r="G550" s="6"/>
      <c r="H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18"/>
      <c r="F551" s="14"/>
      <c r="G551" s="6"/>
      <c r="H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18"/>
      <c r="F552" s="14"/>
      <c r="G552" s="6"/>
      <c r="H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18"/>
      <c r="F553" s="14"/>
      <c r="G553" s="6"/>
      <c r="H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18"/>
      <c r="F554" s="14"/>
      <c r="G554" s="6"/>
      <c r="H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18"/>
      <c r="F555" s="14"/>
      <c r="G555" s="6"/>
      <c r="H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18"/>
      <c r="F556" s="14"/>
      <c r="G556" s="6"/>
      <c r="H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18"/>
      <c r="F557" s="14"/>
      <c r="G557" s="6"/>
      <c r="H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18"/>
      <c r="F558" s="14"/>
      <c r="G558" s="6"/>
      <c r="H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18"/>
      <c r="F559" s="14"/>
      <c r="G559" s="6"/>
      <c r="H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18"/>
      <c r="F560" s="14"/>
      <c r="G560" s="6"/>
      <c r="H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18"/>
      <c r="F561" s="14"/>
      <c r="G561" s="6"/>
      <c r="H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18"/>
      <c r="F562" s="14"/>
      <c r="G562" s="6"/>
      <c r="H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18"/>
      <c r="F563" s="14"/>
      <c r="G563" s="6"/>
      <c r="H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18"/>
      <c r="F564" s="14"/>
      <c r="G564" s="6"/>
      <c r="H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18"/>
      <c r="F565" s="14"/>
      <c r="G565" s="6"/>
      <c r="H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18"/>
      <c r="F566" s="14"/>
      <c r="G566" s="6"/>
      <c r="H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18"/>
      <c r="F567" s="14"/>
      <c r="G567" s="6"/>
      <c r="H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18"/>
      <c r="F568" s="14"/>
      <c r="G568" s="6"/>
      <c r="H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18"/>
      <c r="F569" s="14"/>
      <c r="G569" s="6"/>
      <c r="H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18"/>
      <c r="F570" s="14"/>
      <c r="G570" s="6"/>
      <c r="H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18"/>
      <c r="F571" s="14"/>
      <c r="G571" s="6"/>
      <c r="H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18"/>
      <c r="F572" s="14"/>
      <c r="G572" s="6"/>
      <c r="H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18"/>
      <c r="F573" s="14"/>
      <c r="G573" s="6"/>
      <c r="H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18"/>
      <c r="F574" s="14"/>
      <c r="G574" s="6"/>
      <c r="H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18"/>
      <c r="F575" s="14"/>
      <c r="G575" s="6"/>
      <c r="H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18"/>
      <c r="F576" s="14"/>
      <c r="G576" s="6"/>
      <c r="H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18"/>
      <c r="F577" s="14"/>
      <c r="G577" s="6"/>
      <c r="H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18"/>
      <c r="F578" s="14"/>
      <c r="G578" s="6"/>
      <c r="H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18"/>
      <c r="F579" s="14"/>
      <c r="G579" s="6"/>
      <c r="H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18"/>
      <c r="F580" s="14"/>
      <c r="G580" s="6"/>
      <c r="H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18"/>
      <c r="F581" s="14"/>
      <c r="G581" s="6"/>
      <c r="H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18"/>
      <c r="F582" s="14"/>
      <c r="G582" s="6"/>
      <c r="H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18"/>
      <c r="F583" s="14"/>
      <c r="G583" s="6"/>
      <c r="H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18"/>
      <c r="F584" s="14"/>
      <c r="G584" s="6"/>
      <c r="H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18"/>
      <c r="F585" s="14"/>
      <c r="G585" s="6"/>
      <c r="H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18"/>
      <c r="F586" s="14"/>
      <c r="G586" s="6"/>
      <c r="H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18"/>
      <c r="F587" s="14"/>
      <c r="G587" s="6"/>
      <c r="H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18"/>
      <c r="F588" s="14"/>
      <c r="G588" s="6"/>
      <c r="H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18"/>
      <c r="F589" s="14"/>
      <c r="G589" s="6"/>
      <c r="H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18"/>
      <c r="F590" s="14"/>
      <c r="G590" s="6"/>
      <c r="H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18"/>
      <c r="F591" s="14"/>
      <c r="G591" s="6"/>
      <c r="H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18"/>
      <c r="F592" s="14"/>
      <c r="G592" s="6"/>
      <c r="H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18"/>
      <c r="F593" s="14"/>
      <c r="G593" s="6"/>
      <c r="H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18"/>
      <c r="F594" s="14"/>
      <c r="G594" s="6"/>
      <c r="H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18"/>
      <c r="F595" s="14"/>
      <c r="G595" s="6"/>
      <c r="H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18"/>
      <c r="F596" s="14"/>
      <c r="G596" s="6"/>
      <c r="H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18"/>
      <c r="F597" s="14"/>
      <c r="G597" s="6"/>
      <c r="H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18"/>
      <c r="F598" s="14"/>
      <c r="G598" s="6"/>
      <c r="H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18"/>
      <c r="F599" s="14"/>
      <c r="G599" s="6"/>
      <c r="H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18"/>
      <c r="F600" s="14"/>
      <c r="G600" s="6"/>
      <c r="H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18"/>
      <c r="F601" s="14"/>
      <c r="G601" s="6"/>
      <c r="H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18"/>
      <c r="F602" s="14"/>
      <c r="G602" s="6"/>
      <c r="H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18"/>
      <c r="F603" s="14"/>
      <c r="G603" s="6"/>
      <c r="H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18"/>
      <c r="F604" s="14"/>
      <c r="G604" s="6"/>
      <c r="H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18"/>
      <c r="F605" s="14"/>
      <c r="G605" s="6"/>
      <c r="H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18"/>
      <c r="F606" s="14"/>
      <c r="G606" s="6"/>
      <c r="H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18"/>
      <c r="F607" s="14"/>
      <c r="G607" s="6"/>
      <c r="H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18"/>
      <c r="F608" s="14"/>
      <c r="G608" s="6"/>
      <c r="H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18"/>
      <c r="F609" s="14"/>
      <c r="G609" s="6"/>
      <c r="H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18"/>
      <c r="F610" s="14"/>
      <c r="G610" s="6"/>
      <c r="H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18"/>
      <c r="F611" s="14"/>
      <c r="G611" s="6"/>
      <c r="H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18"/>
      <c r="F612" s="14"/>
      <c r="G612" s="6"/>
      <c r="H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18"/>
      <c r="F613" s="14"/>
      <c r="G613" s="6"/>
      <c r="H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18"/>
      <c r="F614" s="14"/>
      <c r="G614" s="6"/>
      <c r="H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18"/>
      <c r="F615" s="14"/>
      <c r="G615" s="6"/>
      <c r="H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18"/>
      <c r="F616" s="14"/>
      <c r="G616" s="6"/>
      <c r="H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18"/>
      <c r="F617" s="14"/>
      <c r="G617" s="6"/>
      <c r="H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18"/>
      <c r="F618" s="14"/>
      <c r="G618" s="6"/>
      <c r="H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18"/>
      <c r="F619" s="14"/>
      <c r="G619" s="6"/>
      <c r="H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18"/>
      <c r="F620" s="14"/>
      <c r="G620" s="6"/>
      <c r="H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18"/>
      <c r="F621" s="14"/>
      <c r="G621" s="6"/>
      <c r="H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18"/>
      <c r="F622" s="14"/>
      <c r="G622" s="6"/>
      <c r="H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18"/>
      <c r="F623" s="14"/>
      <c r="G623" s="6"/>
      <c r="H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18"/>
      <c r="F624" s="14"/>
      <c r="G624" s="6"/>
      <c r="H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18"/>
      <c r="F625" s="14"/>
      <c r="G625" s="6"/>
      <c r="H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18"/>
      <c r="F626" s="14"/>
      <c r="G626" s="6"/>
      <c r="H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18"/>
      <c r="F627" s="14"/>
      <c r="G627" s="6"/>
      <c r="H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18"/>
      <c r="F628" s="14"/>
      <c r="G628" s="6"/>
      <c r="H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18"/>
      <c r="F629" s="14"/>
      <c r="G629" s="6"/>
      <c r="H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18"/>
      <c r="F630" s="14"/>
      <c r="G630" s="6"/>
      <c r="H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18"/>
      <c r="F631" s="14"/>
      <c r="G631" s="6"/>
      <c r="H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18"/>
      <c r="F632" s="14"/>
      <c r="G632" s="6"/>
      <c r="H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18"/>
      <c r="F633" s="14"/>
      <c r="G633" s="6"/>
      <c r="H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18"/>
      <c r="F634" s="14"/>
      <c r="G634" s="6"/>
      <c r="H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18"/>
      <c r="F635" s="14"/>
      <c r="G635" s="6"/>
      <c r="H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18"/>
      <c r="F636" s="14"/>
      <c r="G636" s="6"/>
      <c r="H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18"/>
      <c r="F637" s="14"/>
      <c r="G637" s="6"/>
      <c r="H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18"/>
      <c r="F638" s="14"/>
      <c r="G638" s="6"/>
      <c r="H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18"/>
      <c r="F639" s="14"/>
      <c r="G639" s="6"/>
      <c r="H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18"/>
      <c r="F640" s="14"/>
      <c r="G640" s="6"/>
      <c r="H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18"/>
      <c r="F641" s="14"/>
      <c r="G641" s="6"/>
      <c r="H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18"/>
      <c r="F642" s="14"/>
      <c r="G642" s="6"/>
      <c r="H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18"/>
      <c r="F643" s="14"/>
      <c r="G643" s="6"/>
      <c r="H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18"/>
      <c r="F644" s="14"/>
      <c r="G644" s="6"/>
      <c r="H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18"/>
      <c r="F645" s="14"/>
      <c r="G645" s="6"/>
      <c r="H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18"/>
      <c r="F646" s="14"/>
      <c r="G646" s="6"/>
      <c r="H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18"/>
      <c r="F647" s="14"/>
      <c r="G647" s="6"/>
      <c r="H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18"/>
      <c r="F648" s="14"/>
      <c r="G648" s="6"/>
      <c r="H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18"/>
      <c r="F649" s="14"/>
      <c r="G649" s="6"/>
      <c r="H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18"/>
      <c r="F650" s="14"/>
      <c r="G650" s="6"/>
      <c r="H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18"/>
      <c r="F651" s="14"/>
      <c r="G651" s="6"/>
      <c r="H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18"/>
      <c r="F652" s="14"/>
      <c r="G652" s="6"/>
      <c r="H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18"/>
      <c r="F653" s="14"/>
      <c r="G653" s="6"/>
      <c r="H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18"/>
      <c r="F654" s="14"/>
      <c r="G654" s="6"/>
      <c r="H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18"/>
      <c r="F655" s="14"/>
      <c r="G655" s="6"/>
      <c r="H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18"/>
      <c r="F656" s="14"/>
      <c r="G656" s="6"/>
      <c r="H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18"/>
      <c r="F657" s="14"/>
      <c r="G657" s="6"/>
      <c r="H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18"/>
      <c r="F658" s="14"/>
      <c r="G658" s="6"/>
      <c r="H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18"/>
      <c r="F659" s="14"/>
      <c r="G659" s="6"/>
      <c r="H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18"/>
      <c r="F660" s="14"/>
      <c r="G660" s="6"/>
      <c r="H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18"/>
      <c r="F661" s="14"/>
      <c r="G661" s="6"/>
      <c r="H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18"/>
      <c r="F662" s="14"/>
      <c r="G662" s="6"/>
      <c r="H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18"/>
      <c r="F663" s="14"/>
      <c r="G663" s="6"/>
      <c r="H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18"/>
      <c r="F664" s="14"/>
      <c r="G664" s="6"/>
      <c r="H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18"/>
      <c r="F665" s="14"/>
      <c r="G665" s="6"/>
      <c r="H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18"/>
      <c r="F666" s="14"/>
      <c r="G666" s="6"/>
      <c r="H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18"/>
      <c r="F667" s="14"/>
      <c r="G667" s="6"/>
      <c r="H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18"/>
      <c r="F668" s="14"/>
      <c r="G668" s="6"/>
      <c r="H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18"/>
      <c r="F669" s="14"/>
      <c r="G669" s="6"/>
      <c r="H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18"/>
      <c r="F670" s="14"/>
      <c r="G670" s="6"/>
      <c r="H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18"/>
      <c r="F671" s="14"/>
      <c r="G671" s="6"/>
      <c r="H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18"/>
      <c r="F672" s="14"/>
      <c r="G672" s="6"/>
      <c r="H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18"/>
      <c r="F673" s="14"/>
      <c r="G673" s="6"/>
      <c r="H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18"/>
      <c r="F674" s="14"/>
      <c r="G674" s="6"/>
      <c r="H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18"/>
      <c r="F675" s="14"/>
      <c r="G675" s="6"/>
      <c r="H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18"/>
      <c r="F676" s="14"/>
      <c r="G676" s="6"/>
      <c r="H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18"/>
      <c r="F677" s="14"/>
      <c r="G677" s="6"/>
      <c r="H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18"/>
      <c r="F678" s="14"/>
      <c r="G678" s="6"/>
      <c r="H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18"/>
      <c r="F679" s="14"/>
      <c r="G679" s="6"/>
      <c r="H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18"/>
      <c r="F680" s="14"/>
      <c r="G680" s="6"/>
      <c r="H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18"/>
      <c r="F681" s="14"/>
      <c r="G681" s="6"/>
      <c r="H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18"/>
      <c r="F682" s="14"/>
      <c r="G682" s="6"/>
      <c r="H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18"/>
      <c r="F683" s="14"/>
      <c r="G683" s="6"/>
      <c r="H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18"/>
      <c r="F684" s="14"/>
      <c r="G684" s="6"/>
      <c r="H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18"/>
      <c r="F685" s="14"/>
      <c r="G685" s="6"/>
      <c r="H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18"/>
      <c r="F686" s="14"/>
      <c r="G686" s="6"/>
      <c r="H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18"/>
      <c r="F687" s="14"/>
      <c r="G687" s="6"/>
      <c r="H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18"/>
      <c r="F688" s="14"/>
      <c r="G688" s="6"/>
      <c r="H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18"/>
      <c r="F689" s="14"/>
      <c r="G689" s="6"/>
      <c r="H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18"/>
      <c r="F690" s="14"/>
      <c r="G690" s="6"/>
      <c r="H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18"/>
      <c r="F691" s="14"/>
      <c r="G691" s="6"/>
      <c r="H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18"/>
      <c r="F692" s="14"/>
      <c r="G692" s="6"/>
      <c r="H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18"/>
      <c r="F693" s="14"/>
      <c r="G693" s="6"/>
      <c r="H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18"/>
      <c r="F694" s="14"/>
      <c r="G694" s="6"/>
      <c r="H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18"/>
      <c r="F695" s="14"/>
      <c r="G695" s="6"/>
      <c r="H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18"/>
      <c r="F696" s="14"/>
      <c r="G696" s="6"/>
      <c r="H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18"/>
      <c r="F697" s="14"/>
      <c r="G697" s="6"/>
      <c r="H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18"/>
      <c r="F698" s="14"/>
      <c r="G698" s="6"/>
      <c r="H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18"/>
      <c r="F699" s="14"/>
      <c r="G699" s="6"/>
      <c r="H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18"/>
      <c r="F700" s="14"/>
      <c r="G700" s="6"/>
      <c r="H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18"/>
      <c r="F701" s="14"/>
      <c r="G701" s="6"/>
      <c r="H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18"/>
      <c r="F702" s="14"/>
      <c r="G702" s="6"/>
      <c r="H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18"/>
      <c r="F703" s="14"/>
      <c r="G703" s="6"/>
      <c r="H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18"/>
      <c r="F704" s="14"/>
      <c r="G704" s="6"/>
      <c r="H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18"/>
      <c r="F705" s="14"/>
      <c r="G705" s="6"/>
      <c r="H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18"/>
      <c r="F706" s="14"/>
      <c r="G706" s="6"/>
      <c r="H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18"/>
      <c r="F707" s="14"/>
      <c r="G707" s="6"/>
      <c r="H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18"/>
      <c r="F708" s="14"/>
      <c r="G708" s="6"/>
      <c r="H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18"/>
      <c r="F709" s="14"/>
      <c r="G709" s="6"/>
      <c r="H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18"/>
      <c r="F710" s="14"/>
      <c r="G710" s="6"/>
      <c r="H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18"/>
      <c r="F711" s="14"/>
      <c r="G711" s="6"/>
      <c r="H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18"/>
      <c r="F712" s="14"/>
      <c r="G712" s="6"/>
      <c r="H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18"/>
      <c r="F713" s="14"/>
      <c r="G713" s="6"/>
      <c r="H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18"/>
      <c r="F714" s="14"/>
      <c r="G714" s="6"/>
      <c r="H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18"/>
      <c r="F715" s="14"/>
      <c r="G715" s="6"/>
      <c r="H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18"/>
      <c r="F716" s="14"/>
      <c r="G716" s="6"/>
      <c r="H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18"/>
      <c r="F717" s="14"/>
      <c r="G717" s="6"/>
      <c r="H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18"/>
      <c r="F718" s="14"/>
      <c r="G718" s="6"/>
      <c r="H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18"/>
      <c r="F719" s="14"/>
      <c r="G719" s="6"/>
      <c r="H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18"/>
      <c r="F720" s="14"/>
      <c r="G720" s="6"/>
      <c r="H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18"/>
      <c r="F721" s="14"/>
      <c r="G721" s="6"/>
      <c r="H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18"/>
      <c r="F722" s="14"/>
      <c r="G722" s="6"/>
      <c r="H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18"/>
      <c r="F723" s="14"/>
      <c r="G723" s="6"/>
      <c r="H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18"/>
      <c r="F724" s="14"/>
      <c r="G724" s="6"/>
      <c r="H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18"/>
      <c r="F725" s="14"/>
      <c r="G725" s="6"/>
      <c r="H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18"/>
      <c r="F726" s="14"/>
      <c r="G726" s="6"/>
      <c r="H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18"/>
      <c r="F727" s="14"/>
      <c r="G727" s="6"/>
      <c r="H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18"/>
      <c r="F728" s="14"/>
      <c r="G728" s="6"/>
      <c r="H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18"/>
      <c r="F729" s="14"/>
      <c r="G729" s="6"/>
      <c r="H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18"/>
      <c r="F730" s="14"/>
      <c r="G730" s="6"/>
      <c r="H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18"/>
      <c r="F731" s="14"/>
      <c r="G731" s="6"/>
      <c r="H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18"/>
      <c r="F732" s="14"/>
      <c r="G732" s="6"/>
      <c r="H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18"/>
      <c r="F733" s="14"/>
      <c r="G733" s="6"/>
      <c r="H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18"/>
      <c r="F734" s="14"/>
      <c r="G734" s="6"/>
      <c r="H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18"/>
      <c r="F735" s="14"/>
      <c r="G735" s="6"/>
      <c r="H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18"/>
      <c r="F736" s="14"/>
      <c r="G736" s="6"/>
      <c r="H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18"/>
      <c r="F737" s="14"/>
      <c r="G737" s="6"/>
      <c r="H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18"/>
      <c r="F738" s="14"/>
      <c r="G738" s="6"/>
      <c r="H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18"/>
      <c r="F739" s="14"/>
      <c r="G739" s="6"/>
      <c r="H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18"/>
      <c r="F740" s="14"/>
      <c r="G740" s="6"/>
      <c r="H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18"/>
      <c r="F741" s="14"/>
      <c r="G741" s="6"/>
      <c r="H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18"/>
      <c r="F742" s="14"/>
      <c r="G742" s="6"/>
      <c r="H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18"/>
      <c r="F743" s="14"/>
      <c r="G743" s="6"/>
      <c r="H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18"/>
      <c r="F744" s="14"/>
      <c r="G744" s="6"/>
      <c r="H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18"/>
      <c r="F745" s="14"/>
      <c r="G745" s="6"/>
      <c r="H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18"/>
      <c r="F746" s="14"/>
      <c r="G746" s="6"/>
      <c r="H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18"/>
      <c r="F747" s="14"/>
      <c r="G747" s="6"/>
      <c r="H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18"/>
      <c r="F748" s="14"/>
      <c r="G748" s="6"/>
      <c r="H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18"/>
      <c r="F749" s="14"/>
      <c r="G749" s="6"/>
      <c r="H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18"/>
      <c r="F750" s="14"/>
      <c r="G750" s="6"/>
      <c r="H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18"/>
      <c r="F751" s="14"/>
      <c r="G751" s="6"/>
      <c r="H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18"/>
      <c r="F752" s="14"/>
      <c r="G752" s="6"/>
      <c r="H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18"/>
      <c r="F753" s="14"/>
      <c r="G753" s="6"/>
      <c r="H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18"/>
      <c r="F754" s="14"/>
      <c r="G754" s="6"/>
      <c r="H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18"/>
      <c r="F755" s="14"/>
      <c r="G755" s="6"/>
      <c r="H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18"/>
      <c r="F756" s="14"/>
      <c r="G756" s="6"/>
      <c r="H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18"/>
      <c r="F757" s="14"/>
      <c r="G757" s="6"/>
      <c r="H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18"/>
      <c r="F758" s="14"/>
      <c r="G758" s="6"/>
      <c r="H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18"/>
      <c r="F759" s="14"/>
      <c r="G759" s="6"/>
      <c r="H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18"/>
      <c r="F760" s="14"/>
      <c r="G760" s="6"/>
      <c r="H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18"/>
      <c r="F761" s="14"/>
      <c r="G761" s="6"/>
      <c r="H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18"/>
      <c r="F762" s="14"/>
      <c r="G762" s="6"/>
      <c r="H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18"/>
      <c r="F763" s="14"/>
      <c r="G763" s="6"/>
      <c r="H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18"/>
      <c r="F764" s="14"/>
      <c r="G764" s="6"/>
      <c r="H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18"/>
      <c r="F765" s="14"/>
      <c r="G765" s="6"/>
      <c r="H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18"/>
      <c r="F766" s="14"/>
      <c r="G766" s="6"/>
      <c r="H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18"/>
      <c r="F767" s="14"/>
      <c r="G767" s="6"/>
      <c r="H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18"/>
      <c r="F768" s="14"/>
      <c r="G768" s="6"/>
      <c r="H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18"/>
      <c r="F769" s="14"/>
      <c r="G769" s="6"/>
      <c r="H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18"/>
      <c r="F770" s="14"/>
      <c r="G770" s="6"/>
      <c r="H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18"/>
      <c r="F771" s="14"/>
      <c r="G771" s="6"/>
      <c r="H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18"/>
      <c r="F772" s="14"/>
      <c r="G772" s="6"/>
      <c r="H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18"/>
      <c r="F773" s="14"/>
      <c r="G773" s="6"/>
      <c r="H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18"/>
      <c r="F774" s="14"/>
      <c r="G774" s="6"/>
      <c r="H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18"/>
      <c r="F775" s="14"/>
      <c r="G775" s="6"/>
      <c r="H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18"/>
      <c r="F776" s="14"/>
      <c r="G776" s="6"/>
      <c r="H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18"/>
      <c r="F777" s="14"/>
      <c r="G777" s="6"/>
      <c r="H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18"/>
      <c r="F778" s="14"/>
      <c r="G778" s="6"/>
      <c r="H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18"/>
      <c r="F779" s="14"/>
      <c r="G779" s="6"/>
      <c r="H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18"/>
      <c r="F780" s="14"/>
      <c r="G780" s="6"/>
      <c r="H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18"/>
      <c r="F781" s="14"/>
      <c r="G781" s="6"/>
      <c r="H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18"/>
      <c r="F782" s="14"/>
      <c r="G782" s="6"/>
      <c r="H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18"/>
      <c r="F783" s="14"/>
      <c r="G783" s="6"/>
      <c r="H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18"/>
      <c r="F784" s="14"/>
      <c r="G784" s="6"/>
      <c r="H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18"/>
      <c r="F785" s="14"/>
      <c r="G785" s="6"/>
      <c r="H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18"/>
      <c r="F786" s="14"/>
      <c r="G786" s="6"/>
      <c r="H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18"/>
      <c r="F787" s="14"/>
      <c r="G787" s="6"/>
      <c r="H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18"/>
      <c r="F788" s="14"/>
      <c r="G788" s="6"/>
      <c r="H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18"/>
      <c r="F789" s="14"/>
      <c r="G789" s="6"/>
      <c r="H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18"/>
      <c r="F790" s="14"/>
      <c r="G790" s="6"/>
      <c r="H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18"/>
      <c r="F791" s="14"/>
      <c r="G791" s="6"/>
      <c r="H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18"/>
      <c r="F792" s="14"/>
      <c r="G792" s="6"/>
      <c r="H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18"/>
      <c r="F793" s="14"/>
      <c r="G793" s="6"/>
      <c r="H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18"/>
      <c r="F794" s="14"/>
      <c r="G794" s="6"/>
      <c r="H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18"/>
      <c r="F795" s="14"/>
      <c r="G795" s="6"/>
      <c r="H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18"/>
      <c r="F796" s="14"/>
      <c r="G796" s="6"/>
      <c r="H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18"/>
      <c r="F797" s="14"/>
      <c r="G797" s="6"/>
      <c r="H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18"/>
      <c r="F798" s="14"/>
      <c r="G798" s="6"/>
      <c r="H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18"/>
      <c r="F799" s="14"/>
      <c r="G799" s="6"/>
      <c r="H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18"/>
      <c r="F800" s="14"/>
      <c r="G800" s="6"/>
      <c r="H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18"/>
      <c r="F801" s="14"/>
      <c r="G801" s="6"/>
      <c r="H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18"/>
      <c r="F802" s="14"/>
      <c r="G802" s="6"/>
      <c r="H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18"/>
      <c r="F803" s="14"/>
      <c r="G803" s="6"/>
      <c r="H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18"/>
      <c r="F804" s="14"/>
      <c r="G804" s="6"/>
      <c r="H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18"/>
      <c r="F805" s="14"/>
      <c r="G805" s="6"/>
      <c r="H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18"/>
      <c r="F806" s="14"/>
      <c r="G806" s="6"/>
      <c r="H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18"/>
      <c r="F807" s="14"/>
      <c r="G807" s="6"/>
      <c r="H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18"/>
      <c r="F808" s="14"/>
      <c r="G808" s="6"/>
      <c r="H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18"/>
      <c r="F809" s="14"/>
      <c r="G809" s="6"/>
      <c r="H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18"/>
      <c r="F810" s="14"/>
      <c r="G810" s="6"/>
      <c r="H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18"/>
      <c r="F811" s="14"/>
      <c r="G811" s="6"/>
      <c r="H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18"/>
      <c r="F812" s="14"/>
      <c r="G812" s="6"/>
      <c r="H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18"/>
      <c r="F813" s="14"/>
      <c r="G813" s="6"/>
      <c r="H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18"/>
      <c r="F814" s="14"/>
      <c r="G814" s="6"/>
      <c r="H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18"/>
      <c r="F815" s="14"/>
      <c r="G815" s="6"/>
      <c r="H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18"/>
      <c r="F816" s="14"/>
      <c r="G816" s="6"/>
      <c r="H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18"/>
      <c r="F817" s="14"/>
      <c r="G817" s="6"/>
      <c r="H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18"/>
      <c r="F818" s="14"/>
      <c r="G818" s="6"/>
      <c r="H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18"/>
      <c r="F819" s="14"/>
      <c r="G819" s="6"/>
      <c r="H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18"/>
      <c r="F820" s="14"/>
      <c r="G820" s="6"/>
      <c r="H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18"/>
      <c r="F821" s="14"/>
      <c r="G821" s="6"/>
      <c r="H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18"/>
      <c r="F822" s="14"/>
      <c r="G822" s="6"/>
      <c r="H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18"/>
      <c r="F823" s="14"/>
      <c r="G823" s="6"/>
      <c r="H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18"/>
      <c r="F824" s="14"/>
      <c r="G824" s="6"/>
      <c r="H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18"/>
      <c r="F825" s="14"/>
      <c r="G825" s="6"/>
      <c r="H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18"/>
      <c r="F826" s="14"/>
      <c r="G826" s="6"/>
      <c r="H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18"/>
      <c r="F827" s="14"/>
      <c r="G827" s="6"/>
      <c r="H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18"/>
      <c r="F828" s="14"/>
      <c r="G828" s="6"/>
      <c r="H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18"/>
      <c r="F829" s="14"/>
      <c r="G829" s="6"/>
      <c r="H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18"/>
      <c r="F830" s="14"/>
      <c r="G830" s="6"/>
      <c r="H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18"/>
      <c r="F831" s="14"/>
      <c r="G831" s="6"/>
      <c r="H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18"/>
      <c r="F832" s="14"/>
      <c r="G832" s="6"/>
      <c r="H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18"/>
      <c r="F833" s="14"/>
      <c r="G833" s="6"/>
      <c r="H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18"/>
      <c r="F834" s="14"/>
      <c r="G834" s="6"/>
      <c r="H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18"/>
      <c r="F835" s="14"/>
      <c r="G835" s="6"/>
      <c r="H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18"/>
      <c r="F836" s="14"/>
      <c r="G836" s="6"/>
      <c r="H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18"/>
      <c r="F837" s="14"/>
      <c r="G837" s="6"/>
      <c r="H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18"/>
      <c r="F838" s="14"/>
      <c r="G838" s="6"/>
      <c r="H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18"/>
      <c r="F839" s="14"/>
      <c r="G839" s="6"/>
      <c r="H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18"/>
      <c r="F840" s="14"/>
      <c r="G840" s="6"/>
      <c r="H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18"/>
      <c r="F841" s="14"/>
      <c r="G841" s="6"/>
      <c r="H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18"/>
      <c r="F842" s="14"/>
      <c r="G842" s="6"/>
      <c r="H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18"/>
      <c r="F843" s="14"/>
      <c r="G843" s="6"/>
      <c r="H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18"/>
      <c r="F844" s="14"/>
      <c r="G844" s="6"/>
      <c r="H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18"/>
      <c r="F845" s="14"/>
      <c r="G845" s="6"/>
      <c r="H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18"/>
      <c r="F846" s="14"/>
      <c r="G846" s="6"/>
      <c r="H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18"/>
      <c r="F847" s="14"/>
      <c r="G847" s="6"/>
      <c r="H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18"/>
      <c r="F848" s="14"/>
      <c r="G848" s="6"/>
      <c r="H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18"/>
      <c r="F849" s="14"/>
      <c r="G849" s="6"/>
      <c r="H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18"/>
      <c r="F850" s="14"/>
      <c r="G850" s="6"/>
      <c r="H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18"/>
      <c r="F851" s="14"/>
      <c r="G851" s="6"/>
      <c r="H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18"/>
      <c r="F852" s="14"/>
      <c r="G852" s="6"/>
      <c r="H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18"/>
      <c r="F853" s="14"/>
      <c r="G853" s="6"/>
      <c r="H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18"/>
      <c r="F854" s="14"/>
      <c r="G854" s="6"/>
      <c r="H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18"/>
      <c r="F855" s="14"/>
      <c r="G855" s="6"/>
      <c r="H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18"/>
      <c r="F856" s="14"/>
      <c r="G856" s="6"/>
      <c r="H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18"/>
      <c r="F857" s="14"/>
      <c r="G857" s="6"/>
      <c r="H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18"/>
      <c r="F858" s="14"/>
      <c r="G858" s="6"/>
      <c r="H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18"/>
      <c r="F859" s="14"/>
      <c r="G859" s="6"/>
      <c r="H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18"/>
      <c r="F860" s="14"/>
      <c r="G860" s="6"/>
      <c r="H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18"/>
      <c r="F861" s="14"/>
      <c r="G861" s="6"/>
      <c r="H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18"/>
      <c r="F862" s="14"/>
      <c r="G862" s="6"/>
      <c r="H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18"/>
      <c r="F863" s="14"/>
      <c r="G863" s="6"/>
      <c r="H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18"/>
      <c r="F864" s="14"/>
      <c r="G864" s="6"/>
      <c r="H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18"/>
      <c r="F865" s="14"/>
      <c r="G865" s="6"/>
      <c r="H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18"/>
      <c r="F866" s="14"/>
      <c r="G866" s="6"/>
      <c r="H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18"/>
      <c r="F867" s="14"/>
      <c r="G867" s="6"/>
      <c r="H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18"/>
      <c r="F868" s="14"/>
      <c r="G868" s="6"/>
      <c r="H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18"/>
      <c r="F869" s="14"/>
      <c r="G869" s="6"/>
      <c r="H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18"/>
      <c r="F870" s="14"/>
      <c r="G870" s="6"/>
      <c r="H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18"/>
      <c r="F871" s="14"/>
      <c r="G871" s="6"/>
      <c r="H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18"/>
      <c r="F872" s="14"/>
      <c r="G872" s="6"/>
      <c r="H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18"/>
      <c r="F873" s="14"/>
      <c r="G873" s="6"/>
      <c r="H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18"/>
      <c r="F874" s="14"/>
      <c r="G874" s="6"/>
      <c r="H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18"/>
      <c r="F875" s="14"/>
      <c r="G875" s="6"/>
      <c r="H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18"/>
      <c r="F876" s="14"/>
      <c r="G876" s="6"/>
      <c r="H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18"/>
      <c r="F877" s="14"/>
      <c r="G877" s="6"/>
      <c r="H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18"/>
      <c r="F878" s="14"/>
      <c r="G878" s="6"/>
      <c r="H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18"/>
      <c r="F879" s="14"/>
      <c r="G879" s="6"/>
      <c r="H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18"/>
      <c r="F880" s="14"/>
      <c r="G880" s="6"/>
      <c r="H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18"/>
      <c r="F881" s="14"/>
      <c r="G881" s="6"/>
      <c r="H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18"/>
      <c r="F882" s="14"/>
      <c r="G882" s="6"/>
      <c r="H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18"/>
      <c r="F883" s="14"/>
      <c r="G883" s="6"/>
      <c r="H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18"/>
      <c r="F884" s="14"/>
      <c r="G884" s="6"/>
      <c r="H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18"/>
      <c r="F885" s="14"/>
      <c r="G885" s="6"/>
      <c r="H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18"/>
      <c r="F886" s="14"/>
      <c r="G886" s="6"/>
      <c r="H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18"/>
      <c r="F887" s="14"/>
      <c r="G887" s="6"/>
      <c r="H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18"/>
      <c r="F888" s="14"/>
      <c r="G888" s="6"/>
      <c r="H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18"/>
      <c r="F889" s="14"/>
      <c r="G889" s="6"/>
      <c r="H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18"/>
      <c r="F890" s="14"/>
      <c r="G890" s="6"/>
      <c r="H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18"/>
      <c r="F891" s="14"/>
      <c r="G891" s="6"/>
      <c r="H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18"/>
      <c r="F892" s="14"/>
      <c r="G892" s="6"/>
      <c r="H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18"/>
      <c r="F893" s="14"/>
      <c r="G893" s="6"/>
      <c r="H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18"/>
      <c r="F894" s="14"/>
      <c r="G894" s="6"/>
      <c r="H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18"/>
      <c r="F895" s="14"/>
      <c r="G895" s="6"/>
      <c r="H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18"/>
      <c r="F896" s="14"/>
      <c r="G896" s="6"/>
      <c r="H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18"/>
      <c r="F897" s="14"/>
      <c r="G897" s="6"/>
      <c r="H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18"/>
      <c r="F898" s="14"/>
      <c r="G898" s="6"/>
      <c r="H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18"/>
      <c r="F899" s="14"/>
      <c r="G899" s="6"/>
      <c r="H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18"/>
      <c r="F900" s="14"/>
      <c r="G900" s="6"/>
      <c r="H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18"/>
      <c r="F901" s="14"/>
      <c r="G901" s="6"/>
      <c r="H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18"/>
      <c r="F902" s="14"/>
      <c r="G902" s="6"/>
      <c r="H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18"/>
      <c r="F903" s="14"/>
      <c r="G903" s="6"/>
      <c r="H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18"/>
      <c r="F904" s="14"/>
      <c r="G904" s="6"/>
      <c r="H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18"/>
      <c r="F905" s="14"/>
      <c r="G905" s="6"/>
      <c r="H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18"/>
      <c r="F906" s="14"/>
      <c r="G906" s="6"/>
      <c r="H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18"/>
      <c r="F907" s="14"/>
      <c r="G907" s="6"/>
      <c r="H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18"/>
      <c r="F908" s="14"/>
      <c r="G908" s="6"/>
      <c r="H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18"/>
      <c r="F909" s="14"/>
      <c r="G909" s="6"/>
      <c r="H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18"/>
      <c r="F910" s="14"/>
      <c r="G910" s="6"/>
      <c r="H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18"/>
      <c r="F911" s="14"/>
      <c r="G911" s="6"/>
      <c r="H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18"/>
      <c r="F912" s="14"/>
      <c r="G912" s="6"/>
      <c r="H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18"/>
      <c r="F913" s="14"/>
      <c r="G913" s="6"/>
      <c r="H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18"/>
      <c r="F914" s="14"/>
      <c r="G914" s="6"/>
      <c r="H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18"/>
      <c r="F915" s="14"/>
      <c r="G915" s="6"/>
      <c r="H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18"/>
      <c r="F916" s="14"/>
      <c r="G916" s="6"/>
      <c r="H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18"/>
      <c r="F917" s="14"/>
      <c r="G917" s="6"/>
      <c r="H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18"/>
      <c r="F918" s="14"/>
      <c r="G918" s="6"/>
      <c r="H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18"/>
      <c r="F919" s="14"/>
      <c r="G919" s="6"/>
      <c r="H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18"/>
      <c r="F920" s="14"/>
      <c r="G920" s="6"/>
      <c r="H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18"/>
      <c r="F921" s="14"/>
      <c r="G921" s="6"/>
      <c r="H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18"/>
      <c r="F922" s="14"/>
      <c r="G922" s="6"/>
      <c r="H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18"/>
      <c r="F923" s="14"/>
      <c r="G923" s="6"/>
      <c r="H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18"/>
      <c r="F924" s="14"/>
      <c r="G924" s="6"/>
      <c r="H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18"/>
      <c r="F925" s="14"/>
      <c r="G925" s="6"/>
      <c r="H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18"/>
      <c r="F926" s="14"/>
      <c r="G926" s="6"/>
      <c r="H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18"/>
      <c r="F927" s="14"/>
      <c r="G927" s="6"/>
      <c r="H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18"/>
      <c r="F928" s="14"/>
      <c r="G928" s="6"/>
      <c r="H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18"/>
      <c r="F929" s="14"/>
      <c r="G929" s="6"/>
      <c r="H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18"/>
      <c r="F930" s="14"/>
      <c r="G930" s="6"/>
      <c r="H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18"/>
      <c r="F931" s="14"/>
      <c r="G931" s="6"/>
      <c r="H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18"/>
      <c r="F932" s="14"/>
      <c r="G932" s="6"/>
      <c r="H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18"/>
      <c r="F933" s="14"/>
      <c r="G933" s="6"/>
      <c r="H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18"/>
      <c r="F934" s="14"/>
      <c r="G934" s="6"/>
      <c r="H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18"/>
      <c r="F935" s="14"/>
      <c r="G935" s="6"/>
      <c r="H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18"/>
      <c r="F936" s="14"/>
      <c r="G936" s="6"/>
      <c r="H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18"/>
      <c r="F937" s="14"/>
      <c r="G937" s="6"/>
      <c r="H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18"/>
      <c r="F938" s="14"/>
      <c r="G938" s="6"/>
      <c r="H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18"/>
      <c r="F939" s="14"/>
      <c r="G939" s="6"/>
      <c r="H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18"/>
      <c r="F940" s="14"/>
      <c r="G940" s="6"/>
      <c r="H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18"/>
      <c r="F941" s="14"/>
      <c r="G941" s="6"/>
      <c r="H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18"/>
      <c r="F942" s="14"/>
      <c r="G942" s="6"/>
      <c r="H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18"/>
      <c r="F943" s="14"/>
      <c r="G943" s="6"/>
      <c r="H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18"/>
      <c r="F944" s="14"/>
      <c r="G944" s="6"/>
      <c r="H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18"/>
      <c r="F945" s="14"/>
      <c r="G945" s="6"/>
      <c r="H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18"/>
      <c r="F946" s="14"/>
      <c r="G946" s="6"/>
      <c r="H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18"/>
      <c r="F947" s="14"/>
      <c r="G947" s="6"/>
      <c r="H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18"/>
      <c r="F948" s="14"/>
      <c r="G948" s="6"/>
      <c r="H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18"/>
      <c r="F949" s="14"/>
      <c r="G949" s="6"/>
      <c r="H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18"/>
      <c r="F950" s="14"/>
      <c r="G950" s="6"/>
      <c r="H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18"/>
      <c r="F951" s="14"/>
      <c r="G951" s="6"/>
      <c r="H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18"/>
      <c r="F952" s="14"/>
      <c r="G952" s="6"/>
      <c r="H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18"/>
      <c r="F953" s="14"/>
      <c r="G953" s="6"/>
      <c r="H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18"/>
      <c r="F954" s="14"/>
      <c r="G954" s="6"/>
      <c r="H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18"/>
      <c r="F955" s="14"/>
      <c r="G955" s="6"/>
      <c r="H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18"/>
      <c r="F956" s="14"/>
      <c r="G956" s="6"/>
      <c r="H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18"/>
      <c r="F957" s="14"/>
      <c r="G957" s="6"/>
      <c r="H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18"/>
      <c r="F958" s="14"/>
      <c r="G958" s="6"/>
      <c r="H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18"/>
      <c r="F959" s="14"/>
      <c r="G959" s="6"/>
      <c r="H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18"/>
      <c r="F960" s="14"/>
      <c r="G960" s="6"/>
      <c r="H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18"/>
      <c r="F961" s="14"/>
      <c r="G961" s="6"/>
      <c r="H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18"/>
      <c r="F962" s="14"/>
      <c r="G962" s="6"/>
      <c r="H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18"/>
      <c r="F963" s="14"/>
      <c r="G963" s="6"/>
      <c r="H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18"/>
      <c r="F964" s="14"/>
      <c r="G964" s="6"/>
      <c r="H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18"/>
      <c r="F965" s="14"/>
      <c r="G965" s="6"/>
      <c r="H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18"/>
      <c r="F966" s="14"/>
      <c r="G966" s="6"/>
      <c r="H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18"/>
      <c r="F967" s="14"/>
      <c r="G967" s="6"/>
      <c r="H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18"/>
      <c r="F968" s="14"/>
      <c r="G968" s="6"/>
      <c r="H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18"/>
      <c r="F969" s="14"/>
      <c r="G969" s="6"/>
      <c r="H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18"/>
      <c r="F970" s="14"/>
      <c r="G970" s="6"/>
      <c r="H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18"/>
      <c r="F971" s="14"/>
      <c r="G971" s="6"/>
      <c r="H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18"/>
      <c r="F972" s="14"/>
      <c r="G972" s="6"/>
      <c r="H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18"/>
      <c r="F973" s="14"/>
      <c r="G973" s="6"/>
      <c r="H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18"/>
      <c r="F974" s="14"/>
      <c r="G974" s="6"/>
      <c r="H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18"/>
      <c r="F975" s="14"/>
      <c r="G975" s="6"/>
      <c r="H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18"/>
      <c r="F976" s="14"/>
      <c r="G976" s="6"/>
      <c r="H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18"/>
      <c r="F977" s="14"/>
      <c r="G977" s="6"/>
      <c r="H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18"/>
      <c r="F978" s="14"/>
      <c r="G978" s="6"/>
      <c r="H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18"/>
      <c r="F979" s="14"/>
      <c r="G979" s="6"/>
      <c r="H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18"/>
      <c r="F980" s="14"/>
      <c r="G980" s="6"/>
      <c r="H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18"/>
      <c r="F981" s="14"/>
      <c r="G981" s="6"/>
      <c r="H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18"/>
      <c r="F982" s="14"/>
      <c r="G982" s="6"/>
      <c r="H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18"/>
      <c r="F983" s="14"/>
      <c r="G983" s="6"/>
      <c r="H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18"/>
      <c r="F984" s="14"/>
      <c r="G984" s="6"/>
      <c r="H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18"/>
      <c r="F985" s="14"/>
      <c r="G985" s="6"/>
      <c r="H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18"/>
      <c r="F986" s="14"/>
      <c r="G986" s="6"/>
      <c r="H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18"/>
      <c r="F987" s="14"/>
      <c r="G987" s="6"/>
      <c r="H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18"/>
      <c r="F988" s="14"/>
      <c r="G988" s="6"/>
      <c r="H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18"/>
      <c r="F989" s="14"/>
      <c r="G989" s="6"/>
      <c r="H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18"/>
      <c r="F990" s="14"/>
      <c r="G990" s="6"/>
      <c r="H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18"/>
      <c r="F991" s="14"/>
      <c r="G991" s="6"/>
      <c r="H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18"/>
      <c r="F992" s="14"/>
      <c r="G992" s="6"/>
      <c r="H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18"/>
      <c r="F993" s="14"/>
      <c r="G993" s="6"/>
      <c r="H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18"/>
      <c r="F994" s="14"/>
      <c r="G994" s="6"/>
      <c r="H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18"/>
      <c r="F995" s="14"/>
      <c r="G995" s="6"/>
      <c r="H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18"/>
      <c r="F996" s="14"/>
      <c r="G996" s="6"/>
      <c r="H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18"/>
      <c r="F997" s="14"/>
      <c r="G997" s="6"/>
      <c r="H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18"/>
      <c r="F998" s="14"/>
      <c r="G998" s="6"/>
      <c r="H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18"/>
      <c r="F999" s="14"/>
      <c r="G999" s="6"/>
      <c r="H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18"/>
      <c r="F1000" s="14"/>
      <c r="G1000" s="6"/>
      <c r="H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O10" sqref="O10"/>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style="15" customWidth="1"/>
    <col min="6" max="6" width="12.88671875" customWidth="1"/>
    <col min="7" max="7" width="10.21875" customWidth="1"/>
    <col min="8" max="10" width="8.6640625" customWidth="1"/>
    <col min="11" max="11" width="17.33203125" bestFit="1" customWidth="1"/>
    <col min="12" max="12" width="10.44140625" bestFit="1" customWidth="1"/>
    <col min="13" max="13" width="10.77734375" bestFit="1" customWidth="1"/>
    <col min="14" max="25" width="8.6640625" customWidth="1"/>
  </cols>
  <sheetData>
    <row r="1" spans="1:25" ht="14.4">
      <c r="A1" s="5" t="s">
        <v>102</v>
      </c>
      <c r="B1" s="5" t="s">
        <v>42</v>
      </c>
      <c r="C1" s="5" t="s">
        <v>103</v>
      </c>
      <c r="D1" s="5" t="s">
        <v>104</v>
      </c>
      <c r="E1" s="12" t="s">
        <v>105</v>
      </c>
      <c r="F1" s="10" t="s">
        <v>138</v>
      </c>
      <c r="G1" s="6"/>
      <c r="H1" s="6"/>
      <c r="I1" s="6"/>
      <c r="J1" s="6"/>
      <c r="K1" s="6"/>
      <c r="L1" s="6"/>
      <c r="M1" s="6"/>
      <c r="N1" s="6"/>
      <c r="O1" s="6"/>
      <c r="P1" s="6"/>
      <c r="Q1" s="6"/>
      <c r="R1" s="6"/>
      <c r="S1" s="6"/>
      <c r="T1" s="6"/>
      <c r="U1" s="6"/>
      <c r="V1" s="6"/>
      <c r="W1" s="6"/>
      <c r="X1" s="6"/>
      <c r="Y1" s="6"/>
    </row>
    <row r="2" spans="1:25" ht="14.4">
      <c r="A2" s="7">
        <v>3001</v>
      </c>
      <c r="B2" s="7" t="s">
        <v>106</v>
      </c>
      <c r="C2" s="7" t="s">
        <v>107</v>
      </c>
      <c r="D2" s="7">
        <v>86766</v>
      </c>
      <c r="E2" s="13">
        <v>42005</v>
      </c>
      <c r="F2" s="10">
        <f ca="1">IFERROR(DATEDIF(E2, TODAY(), "Y"), "Future Joiner")</f>
        <v>11</v>
      </c>
      <c r="G2">
        <f ca="1">IFERROR(DATEDIF(E2, TODAY(), "d"),"Future Joiner")</f>
        <v>4130</v>
      </c>
      <c r="H2" s="6"/>
      <c r="I2" s="6"/>
      <c r="J2" s="6"/>
      <c r="K2" s="6"/>
      <c r="L2" s="6"/>
      <c r="M2" s="6"/>
      <c r="N2" s="6"/>
      <c r="O2" s="6"/>
      <c r="P2" s="6"/>
      <c r="Q2" s="6"/>
      <c r="R2" s="6"/>
      <c r="S2" s="6"/>
      <c r="T2" s="6"/>
      <c r="U2" s="6"/>
      <c r="V2" s="6"/>
      <c r="W2" s="6"/>
      <c r="X2" s="6"/>
      <c r="Y2" s="6"/>
    </row>
    <row r="3" spans="1:25" ht="14.4">
      <c r="A3" s="7">
        <v>3002</v>
      </c>
      <c r="B3" s="7" t="s">
        <v>108</v>
      </c>
      <c r="C3" s="7" t="s">
        <v>107</v>
      </c>
      <c r="D3" s="7">
        <v>31943</v>
      </c>
      <c r="E3" s="13">
        <v>42255</v>
      </c>
      <c r="F3" s="10">
        <f t="shared" ref="F3:F21" ca="1" si="0">IFERROR(DATEDIF(E3, TODAY(), "Y"), "Future Joiner")</f>
        <v>10</v>
      </c>
      <c r="G3">
        <f t="shared" ref="G3:G21" ca="1" si="1">IFERROR(DATEDIF(E3, TODAY(), "d"),"Future Joiner")</f>
        <v>3880</v>
      </c>
      <c r="H3" s="6"/>
      <c r="I3" s="6"/>
      <c r="J3" s="6"/>
      <c r="K3" s="6"/>
      <c r="L3" s="6"/>
      <c r="M3" s="6"/>
      <c r="N3" s="6"/>
      <c r="O3" s="6"/>
      <c r="P3" s="6"/>
      <c r="Q3" s="6"/>
      <c r="R3" s="6"/>
      <c r="S3" s="6"/>
      <c r="T3" s="6"/>
      <c r="U3" s="6"/>
      <c r="V3" s="6"/>
      <c r="W3" s="6"/>
      <c r="X3" s="6"/>
      <c r="Y3" s="6"/>
    </row>
    <row r="4" spans="1:25" ht="14.4">
      <c r="A4" s="7">
        <v>3003</v>
      </c>
      <c r="B4" s="7" t="s">
        <v>109</v>
      </c>
      <c r="C4" s="7" t="s">
        <v>110</v>
      </c>
      <c r="D4" s="7">
        <v>63374</v>
      </c>
      <c r="E4" s="13">
        <v>42505</v>
      </c>
      <c r="F4" s="10">
        <f t="shared" ca="1" si="0"/>
        <v>9</v>
      </c>
      <c r="G4">
        <f t="shared" ca="1" si="1"/>
        <v>3630</v>
      </c>
      <c r="H4" s="6"/>
      <c r="I4" s="6"/>
      <c r="J4" s="6"/>
      <c r="K4" s="6"/>
      <c r="L4" s="6"/>
      <c r="M4" s="6"/>
      <c r="N4" s="6"/>
      <c r="O4" s="6"/>
      <c r="P4" s="6"/>
      <c r="Q4" s="6"/>
      <c r="R4" s="6"/>
      <c r="S4" s="6"/>
      <c r="T4" s="6"/>
      <c r="U4" s="6"/>
      <c r="V4" s="6"/>
      <c r="W4" s="6"/>
      <c r="X4" s="6"/>
      <c r="Y4" s="6"/>
    </row>
    <row r="5" spans="1:25" ht="14.4">
      <c r="A5" s="7">
        <v>3004</v>
      </c>
      <c r="B5" s="7" t="s">
        <v>111</v>
      </c>
      <c r="C5" s="7" t="s">
        <v>107</v>
      </c>
      <c r="D5" s="7">
        <v>109972</v>
      </c>
      <c r="E5" s="13">
        <v>42755</v>
      </c>
      <c r="F5" s="10">
        <f t="shared" ca="1" si="0"/>
        <v>9</v>
      </c>
      <c r="G5">
        <f t="shared" ca="1" si="1"/>
        <v>3380</v>
      </c>
      <c r="I5" s="6"/>
      <c r="J5" s="6"/>
      <c r="K5" s="10" t="s">
        <v>137</v>
      </c>
      <c r="L5" s="10" t="s">
        <v>104</v>
      </c>
      <c r="M5" s="6"/>
      <c r="N5" s="6"/>
      <c r="O5" s="6"/>
      <c r="P5" s="6"/>
      <c r="Q5" s="6"/>
      <c r="R5" s="6"/>
      <c r="S5" s="6"/>
      <c r="T5" s="6"/>
      <c r="U5" s="6"/>
      <c r="V5" s="6"/>
      <c r="W5" s="6"/>
      <c r="X5" s="6"/>
      <c r="Y5" s="6"/>
    </row>
    <row r="6" spans="1:25" ht="14.4">
      <c r="A6" s="7">
        <v>3005</v>
      </c>
      <c r="B6" s="7" t="s">
        <v>112</v>
      </c>
      <c r="C6" s="7" t="s">
        <v>113</v>
      </c>
      <c r="D6" s="7">
        <v>54149</v>
      </c>
      <c r="E6" s="13">
        <v>43005</v>
      </c>
      <c r="F6" s="10">
        <f t="shared" ca="1" si="0"/>
        <v>8</v>
      </c>
      <c r="G6">
        <f t="shared" ca="1" si="1"/>
        <v>3130</v>
      </c>
      <c r="I6" s="6"/>
      <c r="J6" s="6"/>
      <c r="K6" s="10">
        <v>3005</v>
      </c>
      <c r="L6" s="10">
        <f>IFERROR(VLOOKUP(K6, A2:D21, 4, FALSE), "ID nathi malyu")</f>
        <v>54149</v>
      </c>
      <c r="M6" s="6"/>
      <c r="N6" s="6"/>
      <c r="O6" s="6"/>
      <c r="P6" s="6"/>
      <c r="Q6" s="6"/>
      <c r="R6" s="6"/>
      <c r="S6" s="6"/>
      <c r="T6" s="6"/>
      <c r="U6" s="6"/>
      <c r="V6" s="6"/>
      <c r="W6" s="6"/>
      <c r="X6" s="6"/>
      <c r="Y6" s="6"/>
    </row>
    <row r="7" spans="1:25" ht="14.4">
      <c r="A7" s="7">
        <v>3006</v>
      </c>
      <c r="B7" s="7" t="s">
        <v>114</v>
      </c>
      <c r="C7" s="7" t="s">
        <v>113</v>
      </c>
      <c r="D7" s="7">
        <v>78689</v>
      </c>
      <c r="E7" s="13">
        <v>43255</v>
      </c>
      <c r="F7" s="10">
        <f t="shared" ca="1" si="0"/>
        <v>7</v>
      </c>
      <c r="G7">
        <f t="shared" ca="1" si="1"/>
        <v>2880</v>
      </c>
      <c r="I7" s="6"/>
      <c r="J7" s="6"/>
      <c r="K7" s="6"/>
      <c r="L7" s="6"/>
      <c r="M7" s="6"/>
      <c r="N7" s="6"/>
      <c r="O7" s="6"/>
      <c r="P7" s="6"/>
      <c r="Q7" s="6"/>
      <c r="R7" s="6"/>
      <c r="S7" s="6"/>
      <c r="T7" s="6"/>
      <c r="U7" s="6"/>
      <c r="V7" s="6"/>
      <c r="W7" s="6"/>
      <c r="X7" s="6"/>
      <c r="Y7" s="6"/>
    </row>
    <row r="8" spans="1:25" ht="14.4">
      <c r="A8" s="7">
        <v>3007</v>
      </c>
      <c r="B8" s="7" t="s">
        <v>115</v>
      </c>
      <c r="C8" s="7" t="s">
        <v>116</v>
      </c>
      <c r="D8" s="7">
        <v>35960</v>
      </c>
      <c r="E8" s="13">
        <v>43505</v>
      </c>
      <c r="F8" s="10">
        <f t="shared" ca="1" si="0"/>
        <v>7</v>
      </c>
      <c r="G8">
        <f t="shared" ca="1" si="1"/>
        <v>2630</v>
      </c>
      <c r="H8" s="6"/>
      <c r="I8" s="6"/>
      <c r="J8" s="6"/>
      <c r="K8" s="6"/>
      <c r="L8" s="6"/>
      <c r="M8" s="6"/>
      <c r="N8" s="6"/>
      <c r="O8" s="6"/>
      <c r="P8" s="6"/>
      <c r="Q8" s="6"/>
      <c r="R8" s="6"/>
      <c r="S8" s="6"/>
      <c r="T8" s="6"/>
      <c r="U8" s="6"/>
      <c r="V8" s="6"/>
      <c r="W8" s="6"/>
      <c r="X8" s="6"/>
      <c r="Y8" s="6"/>
    </row>
    <row r="9" spans="1:25" ht="14.4">
      <c r="A9" s="7">
        <v>3008</v>
      </c>
      <c r="B9" s="7" t="s">
        <v>117</v>
      </c>
      <c r="C9" s="7" t="s">
        <v>113</v>
      </c>
      <c r="D9" s="7">
        <v>91659</v>
      </c>
      <c r="E9" s="13">
        <v>43755</v>
      </c>
      <c r="F9" s="10">
        <f t="shared" ca="1" si="0"/>
        <v>6</v>
      </c>
      <c r="G9">
        <f t="shared" ca="1" si="1"/>
        <v>2380</v>
      </c>
      <c r="H9" s="6"/>
      <c r="I9" s="6"/>
      <c r="J9" s="6"/>
      <c r="K9" s="10" t="s">
        <v>137</v>
      </c>
      <c r="L9" s="6" t="s">
        <v>42</v>
      </c>
      <c r="M9" s="6" t="s">
        <v>103</v>
      </c>
      <c r="N9" s="6" t="s">
        <v>104</v>
      </c>
      <c r="O9" s="6"/>
      <c r="P9" s="6"/>
      <c r="Q9" s="6"/>
      <c r="R9" s="6"/>
      <c r="S9" s="6"/>
      <c r="T9" s="6"/>
      <c r="U9" s="6"/>
      <c r="V9" s="6"/>
      <c r="W9" s="6"/>
      <c r="X9" s="6"/>
      <c r="Y9" s="6"/>
    </row>
    <row r="10" spans="1:25" ht="14.4">
      <c r="A10" s="7">
        <v>3009</v>
      </c>
      <c r="B10" s="7" t="s">
        <v>118</v>
      </c>
      <c r="C10" s="7" t="s">
        <v>113</v>
      </c>
      <c r="D10" s="7">
        <v>90423</v>
      </c>
      <c r="E10" s="13">
        <v>44005</v>
      </c>
      <c r="F10" s="10">
        <f t="shared" ca="1" si="0"/>
        <v>5</v>
      </c>
      <c r="G10">
        <f t="shared" ca="1" si="1"/>
        <v>2130</v>
      </c>
      <c r="H10" s="6"/>
      <c r="I10" s="6"/>
      <c r="J10" s="6"/>
      <c r="K10" s="6">
        <v>3005</v>
      </c>
      <c r="L10" t="str">
        <f>INDEX(B2:B31, MATCH($K$10, $A$2:$A$31, 0))</f>
        <v>Employee 5</v>
      </c>
      <c r="M10" t="str">
        <f t="shared" ref="M10:N10" si="2">INDEX(C2:C31, MATCH($K$10, $A$2:$A$31, 0))</f>
        <v>IT</v>
      </c>
      <c r="N10">
        <f t="shared" si="2"/>
        <v>54149</v>
      </c>
      <c r="O10" s="6"/>
      <c r="P10" s="6"/>
      <c r="Q10" s="6"/>
      <c r="R10" s="6"/>
      <c r="S10" s="6"/>
      <c r="T10" s="6"/>
      <c r="U10" s="6"/>
      <c r="V10" s="6"/>
      <c r="W10" s="6"/>
      <c r="X10" s="6"/>
      <c r="Y10" s="6"/>
    </row>
    <row r="11" spans="1:25" ht="14.4">
      <c r="A11" s="7">
        <v>3010</v>
      </c>
      <c r="B11" s="7" t="s">
        <v>119</v>
      </c>
      <c r="C11" s="7" t="s">
        <v>110</v>
      </c>
      <c r="D11" s="7">
        <v>107877</v>
      </c>
      <c r="E11" s="13">
        <v>44255</v>
      </c>
      <c r="F11" s="10">
        <f t="shared" ca="1" si="0"/>
        <v>5</v>
      </c>
      <c r="G11">
        <f t="shared" ca="1" si="1"/>
        <v>1880</v>
      </c>
      <c r="H11" s="6"/>
      <c r="I11" s="6"/>
      <c r="J11" s="6"/>
      <c r="K11" s="6"/>
      <c r="L11" s="6"/>
      <c r="M11" s="6"/>
      <c r="N11" s="6"/>
      <c r="O11" s="6"/>
      <c r="P11" s="6"/>
      <c r="Q11" s="6"/>
      <c r="R11" s="6"/>
      <c r="S11" s="6"/>
      <c r="T11" s="6"/>
      <c r="U11" s="6"/>
      <c r="V11" s="6"/>
      <c r="W11" s="6"/>
      <c r="X11" s="6"/>
      <c r="Y11" s="6"/>
    </row>
    <row r="12" spans="1:25" ht="14.4">
      <c r="A12" s="7">
        <v>3011</v>
      </c>
      <c r="B12" s="7" t="s">
        <v>120</v>
      </c>
      <c r="C12" s="7" t="s">
        <v>107</v>
      </c>
      <c r="D12" s="7">
        <v>107634</v>
      </c>
      <c r="E12" s="13">
        <v>44505</v>
      </c>
      <c r="F12" s="10">
        <f t="shared" ca="1" si="0"/>
        <v>4</v>
      </c>
      <c r="G12">
        <f t="shared" ca="1" si="1"/>
        <v>1630</v>
      </c>
      <c r="H12" s="6"/>
      <c r="I12" s="6"/>
      <c r="J12" s="6"/>
      <c r="K12" s="6"/>
      <c r="L12" s="6"/>
      <c r="M12" s="6"/>
      <c r="N12" s="6"/>
      <c r="O12" s="6"/>
      <c r="P12" s="6"/>
      <c r="Q12" s="6"/>
      <c r="R12" s="6"/>
      <c r="S12" s="6"/>
      <c r="T12" s="6"/>
      <c r="U12" s="6"/>
      <c r="V12" s="6"/>
      <c r="W12" s="6"/>
      <c r="X12" s="6"/>
      <c r="Y12" s="6"/>
    </row>
    <row r="13" spans="1:25" ht="14.4">
      <c r="A13" s="7">
        <v>3012</v>
      </c>
      <c r="B13" s="7" t="s">
        <v>121</v>
      </c>
      <c r="C13" s="7" t="s">
        <v>107</v>
      </c>
      <c r="D13" s="7">
        <v>35226</v>
      </c>
      <c r="E13" s="13">
        <v>44755</v>
      </c>
      <c r="F13" s="10">
        <f t="shared" ca="1" si="0"/>
        <v>3</v>
      </c>
      <c r="G13">
        <f t="shared" ca="1" si="1"/>
        <v>1380</v>
      </c>
      <c r="H13" s="6"/>
      <c r="I13" s="6"/>
      <c r="J13" s="6"/>
      <c r="K13" s="6"/>
      <c r="L13" s="6"/>
      <c r="M13" s="6"/>
      <c r="N13" s="6"/>
      <c r="O13" s="6"/>
      <c r="P13" s="6"/>
      <c r="Q13" s="6"/>
      <c r="R13" s="6"/>
      <c r="S13" s="6"/>
      <c r="T13" s="6"/>
      <c r="U13" s="6"/>
      <c r="V13" s="6"/>
      <c r="W13" s="6"/>
      <c r="X13" s="6"/>
      <c r="Y13" s="6"/>
    </row>
    <row r="14" spans="1:25" ht="14.4">
      <c r="A14" s="7">
        <v>3013</v>
      </c>
      <c r="B14" s="7" t="s">
        <v>122</v>
      </c>
      <c r="C14" s="7" t="s">
        <v>110</v>
      </c>
      <c r="D14" s="7">
        <v>40872</v>
      </c>
      <c r="E14" s="13">
        <v>45005</v>
      </c>
      <c r="F14" s="10">
        <f t="shared" ca="1" si="0"/>
        <v>3</v>
      </c>
      <c r="G14">
        <f t="shared" ca="1" si="1"/>
        <v>1130</v>
      </c>
      <c r="H14" s="6"/>
      <c r="I14" s="6"/>
      <c r="J14" s="6"/>
      <c r="K14" s="6"/>
      <c r="L14" s="6"/>
      <c r="M14" s="6"/>
      <c r="N14" s="6"/>
      <c r="O14" s="6"/>
      <c r="P14" s="6"/>
      <c r="Q14" s="6"/>
      <c r="R14" s="6"/>
      <c r="S14" s="6"/>
      <c r="T14" s="6"/>
      <c r="U14" s="6"/>
      <c r="V14" s="6"/>
      <c r="W14" s="6"/>
      <c r="X14" s="6"/>
      <c r="Y14" s="6"/>
    </row>
    <row r="15" spans="1:25" ht="14.4">
      <c r="A15" s="7">
        <v>3014</v>
      </c>
      <c r="B15" s="7" t="s">
        <v>123</v>
      </c>
      <c r="C15" s="7" t="s">
        <v>110</v>
      </c>
      <c r="D15" s="7">
        <v>55378</v>
      </c>
      <c r="E15" s="13">
        <v>45255</v>
      </c>
      <c r="F15" s="10">
        <f t="shared" ca="1" si="0"/>
        <v>2</v>
      </c>
      <c r="G15">
        <f t="shared" ca="1" si="1"/>
        <v>880</v>
      </c>
      <c r="H15" s="6"/>
      <c r="I15" s="6"/>
      <c r="J15" s="6"/>
      <c r="K15" s="6"/>
      <c r="L15" s="6"/>
      <c r="M15" s="6"/>
      <c r="N15" s="6"/>
      <c r="O15" s="6"/>
      <c r="P15" s="6"/>
      <c r="Q15" s="6"/>
      <c r="R15" s="6"/>
      <c r="S15" s="6"/>
      <c r="T15" s="6"/>
      <c r="U15" s="6"/>
      <c r="V15" s="6"/>
      <c r="W15" s="6"/>
      <c r="X15" s="6"/>
      <c r="Y15" s="6"/>
    </row>
    <row r="16" spans="1:25" ht="14.4">
      <c r="A16" s="7">
        <v>3015</v>
      </c>
      <c r="B16" s="7" t="s">
        <v>124</v>
      </c>
      <c r="C16" s="7" t="s">
        <v>110</v>
      </c>
      <c r="D16" s="7">
        <v>63297</v>
      </c>
      <c r="E16" s="13">
        <v>45505</v>
      </c>
      <c r="F16" s="10">
        <f t="shared" ca="1" si="0"/>
        <v>1</v>
      </c>
      <c r="G16">
        <f t="shared" ca="1" si="1"/>
        <v>630</v>
      </c>
      <c r="H16" s="6"/>
      <c r="I16" s="6"/>
      <c r="J16" s="6"/>
      <c r="K16" s="6"/>
      <c r="L16" s="6"/>
      <c r="M16" s="6"/>
      <c r="N16" s="6"/>
      <c r="O16" s="6"/>
      <c r="P16" s="6"/>
      <c r="Q16" s="6"/>
      <c r="R16" s="6"/>
      <c r="S16" s="6"/>
      <c r="T16" s="6"/>
      <c r="U16" s="6"/>
      <c r="V16" s="6"/>
      <c r="W16" s="6"/>
      <c r="X16" s="6"/>
      <c r="Y16" s="6"/>
    </row>
    <row r="17" spans="1:25" ht="14.4">
      <c r="A17" s="7">
        <v>3016</v>
      </c>
      <c r="B17" s="7" t="s">
        <v>125</v>
      </c>
      <c r="C17" s="7" t="s">
        <v>107</v>
      </c>
      <c r="D17" s="7">
        <v>114173</v>
      </c>
      <c r="E17" s="13">
        <v>45755</v>
      </c>
      <c r="F17" s="10">
        <f t="shared" ca="1" si="0"/>
        <v>1</v>
      </c>
      <c r="G17">
        <f t="shared" ca="1" si="1"/>
        <v>380</v>
      </c>
      <c r="H17" s="6"/>
      <c r="I17" s="6"/>
      <c r="J17" s="6"/>
      <c r="K17" s="6"/>
      <c r="L17" s="6"/>
      <c r="M17" s="6"/>
      <c r="N17" s="6"/>
      <c r="O17" s="6"/>
      <c r="P17" s="6"/>
      <c r="Q17" s="6"/>
      <c r="R17" s="6"/>
      <c r="S17" s="6"/>
      <c r="T17" s="6"/>
      <c r="U17" s="6"/>
      <c r="V17" s="6"/>
      <c r="W17" s="6"/>
      <c r="X17" s="6"/>
      <c r="Y17" s="6"/>
    </row>
    <row r="18" spans="1:25" ht="14.4">
      <c r="A18" s="7">
        <v>3017</v>
      </c>
      <c r="B18" s="7" t="s">
        <v>126</v>
      </c>
      <c r="C18" s="7" t="s">
        <v>110</v>
      </c>
      <c r="D18" s="7">
        <v>86915</v>
      </c>
      <c r="E18" s="13">
        <v>46005</v>
      </c>
      <c r="F18" s="10">
        <f t="shared" ca="1" si="0"/>
        <v>0</v>
      </c>
      <c r="G18">
        <f t="shared" ca="1" si="1"/>
        <v>130</v>
      </c>
      <c r="H18" s="6"/>
      <c r="I18" s="6"/>
      <c r="J18" s="6"/>
      <c r="K18" s="6"/>
      <c r="L18" s="6"/>
      <c r="M18" s="6"/>
      <c r="N18" s="6"/>
      <c r="O18" s="6"/>
      <c r="P18" s="6"/>
      <c r="Q18" s="6"/>
      <c r="R18" s="6"/>
      <c r="S18" s="6"/>
      <c r="T18" s="6"/>
      <c r="U18" s="6"/>
      <c r="V18" s="6"/>
      <c r="W18" s="6"/>
      <c r="X18" s="6"/>
      <c r="Y18" s="6"/>
    </row>
    <row r="19" spans="1:25" ht="14.4">
      <c r="A19" s="7">
        <v>3018</v>
      </c>
      <c r="B19" s="7" t="s">
        <v>127</v>
      </c>
      <c r="C19" s="7" t="s">
        <v>113</v>
      </c>
      <c r="D19" s="7">
        <v>116284</v>
      </c>
      <c r="E19" s="13">
        <v>46255</v>
      </c>
      <c r="F19" s="10" t="str">
        <f ca="1">IFERROR(DATEDIF(E19, TODAY(), "Y"), "Future Joiner")</f>
        <v>Future Joiner</v>
      </c>
      <c r="G19" t="str">
        <f t="shared" ca="1" si="1"/>
        <v>Future Joiner</v>
      </c>
      <c r="H19" s="6"/>
      <c r="I19" s="6"/>
      <c r="J19" s="6"/>
      <c r="K19" s="6"/>
      <c r="L19" s="6"/>
      <c r="M19" s="6"/>
      <c r="N19" s="6"/>
      <c r="O19" s="6"/>
      <c r="P19" s="6"/>
      <c r="Q19" s="6"/>
      <c r="R19" s="6"/>
      <c r="S19" s="6"/>
      <c r="T19" s="6"/>
      <c r="U19" s="6"/>
      <c r="V19" s="6"/>
      <c r="W19" s="6"/>
      <c r="X19" s="6"/>
      <c r="Y19" s="6"/>
    </row>
    <row r="20" spans="1:25" ht="14.4">
      <c r="A20" s="7">
        <v>3019</v>
      </c>
      <c r="B20" s="7" t="s">
        <v>128</v>
      </c>
      <c r="C20" s="7" t="s">
        <v>116</v>
      </c>
      <c r="D20" s="7">
        <v>116283</v>
      </c>
      <c r="E20" s="13">
        <v>46505</v>
      </c>
      <c r="F20" s="10" t="str">
        <f t="shared" ca="1" si="0"/>
        <v>Future Joiner</v>
      </c>
      <c r="G20" t="str">
        <f t="shared" ca="1" si="1"/>
        <v>Future Joiner</v>
      </c>
      <c r="H20" s="6"/>
      <c r="I20" s="6"/>
      <c r="J20" s="6"/>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13">
        <v>46755</v>
      </c>
      <c r="F21" s="10" t="str">
        <f t="shared" ca="1" si="0"/>
        <v>Future Joiner</v>
      </c>
      <c r="G21" t="str">
        <f t="shared" ca="1" si="1"/>
        <v>Future Joiner</v>
      </c>
      <c r="H21" s="6"/>
      <c r="I21" s="6"/>
      <c r="J21" s="6"/>
      <c r="K21" s="6"/>
      <c r="L21" s="6"/>
      <c r="M21" s="6"/>
      <c r="N21" s="6"/>
      <c r="O21" s="6"/>
      <c r="P21" s="6"/>
      <c r="Q21" s="6"/>
      <c r="R21" s="6"/>
      <c r="S21" s="6"/>
      <c r="T21" s="6"/>
      <c r="U21" s="6"/>
      <c r="V21" s="6"/>
      <c r="W21" s="6"/>
      <c r="X21" s="6"/>
      <c r="Y21" s="6"/>
    </row>
    <row r="22" spans="1:25" ht="15.75" customHeight="1">
      <c r="A22" s="6"/>
      <c r="B22" s="6"/>
      <c r="C22" s="6"/>
      <c r="D22" s="6"/>
      <c r="E22" s="14"/>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14"/>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14"/>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14"/>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14"/>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14"/>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14"/>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14"/>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14"/>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14"/>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14"/>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14"/>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14"/>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14"/>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14"/>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14"/>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14"/>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14"/>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14"/>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14"/>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14"/>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14"/>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14"/>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14"/>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14"/>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14"/>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14"/>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14"/>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14"/>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14"/>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14"/>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14"/>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14"/>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14"/>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14"/>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14"/>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14"/>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14"/>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14"/>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14"/>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14"/>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14"/>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14"/>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14"/>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14"/>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14"/>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14"/>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14"/>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14"/>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14"/>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14"/>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14"/>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14"/>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14"/>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14"/>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14"/>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14"/>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14"/>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14"/>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14"/>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14"/>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14"/>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14"/>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14"/>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14"/>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14"/>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14"/>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14"/>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14"/>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14"/>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14"/>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14"/>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14"/>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14"/>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14"/>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14"/>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14"/>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14"/>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14"/>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14"/>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14"/>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14"/>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14"/>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14"/>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14"/>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14"/>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14"/>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14"/>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14"/>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14"/>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14"/>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14"/>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14"/>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14"/>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14"/>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14"/>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14"/>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14"/>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14"/>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14"/>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14"/>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14"/>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14"/>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14"/>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14"/>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14"/>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14"/>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14"/>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14"/>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14"/>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14"/>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14"/>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14"/>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14"/>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14"/>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14"/>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14"/>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14"/>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14"/>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14"/>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14"/>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14"/>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14"/>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14"/>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14"/>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14"/>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14"/>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14"/>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14"/>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14"/>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14"/>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14"/>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14"/>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14"/>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14"/>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14"/>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14"/>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14"/>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14"/>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14"/>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14"/>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14"/>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14"/>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14"/>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14"/>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14"/>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14"/>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14"/>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14"/>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14"/>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14"/>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14"/>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14"/>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14"/>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14"/>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14"/>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14"/>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14"/>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14"/>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14"/>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14"/>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14"/>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14"/>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14"/>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14"/>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14"/>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14"/>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14"/>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14"/>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14"/>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14"/>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14"/>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14"/>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14"/>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14"/>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14"/>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14"/>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14"/>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14"/>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14"/>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14"/>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14"/>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14"/>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14"/>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14"/>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14"/>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14"/>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14"/>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14"/>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14"/>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14"/>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14"/>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14"/>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14"/>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14"/>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14"/>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14"/>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14"/>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14"/>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14"/>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14"/>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14"/>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14"/>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14"/>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14"/>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14"/>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14"/>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14"/>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14"/>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14"/>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14"/>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14"/>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14"/>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14"/>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14"/>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14"/>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14"/>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14"/>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14"/>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14"/>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14"/>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14"/>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14"/>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14"/>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14"/>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14"/>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14"/>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14"/>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14"/>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14"/>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14"/>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14"/>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14"/>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14"/>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14"/>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14"/>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14"/>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14"/>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14"/>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14"/>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14"/>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14"/>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14"/>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14"/>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14"/>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14"/>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14"/>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14"/>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14"/>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14"/>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14"/>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14"/>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14"/>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14"/>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14"/>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14"/>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14"/>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14"/>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14"/>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14"/>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14"/>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14"/>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14"/>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14"/>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14"/>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14"/>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14"/>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14"/>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14"/>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14"/>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14"/>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14"/>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14"/>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14"/>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14"/>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14"/>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14"/>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14"/>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14"/>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14"/>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14"/>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14"/>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14"/>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14"/>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14"/>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14"/>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14"/>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14"/>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14"/>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14"/>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14"/>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14"/>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14"/>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14"/>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14"/>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14"/>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14"/>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14"/>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14"/>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14"/>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14"/>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14"/>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14"/>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14"/>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14"/>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14"/>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14"/>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14"/>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14"/>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14"/>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14"/>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14"/>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14"/>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14"/>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14"/>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14"/>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14"/>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14"/>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14"/>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14"/>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14"/>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14"/>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14"/>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14"/>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14"/>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14"/>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14"/>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14"/>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14"/>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14"/>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14"/>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14"/>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14"/>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14"/>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14"/>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14"/>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14"/>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14"/>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14"/>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14"/>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14"/>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14"/>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14"/>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14"/>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14"/>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14"/>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14"/>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14"/>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14"/>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14"/>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14"/>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14"/>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14"/>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14"/>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14"/>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14"/>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14"/>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14"/>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14"/>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14"/>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14"/>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14"/>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14"/>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14"/>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14"/>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14"/>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14"/>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14"/>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14"/>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14"/>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14"/>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14"/>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14"/>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14"/>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14"/>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14"/>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14"/>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14"/>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14"/>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14"/>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14"/>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14"/>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14"/>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14"/>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14"/>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14"/>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14"/>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14"/>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14"/>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14"/>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14"/>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14"/>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14"/>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14"/>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14"/>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14"/>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14"/>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14"/>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14"/>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14"/>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14"/>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14"/>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14"/>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14"/>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14"/>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14"/>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14"/>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14"/>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14"/>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14"/>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14"/>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14"/>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14"/>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14"/>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14"/>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14"/>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14"/>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14"/>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14"/>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14"/>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14"/>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14"/>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14"/>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14"/>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14"/>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14"/>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14"/>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14"/>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14"/>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14"/>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14"/>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14"/>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14"/>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14"/>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14"/>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14"/>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14"/>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14"/>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14"/>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14"/>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14"/>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14"/>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14"/>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14"/>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14"/>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14"/>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14"/>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14"/>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14"/>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14"/>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14"/>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14"/>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14"/>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14"/>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14"/>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14"/>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14"/>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14"/>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14"/>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14"/>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14"/>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14"/>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14"/>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14"/>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14"/>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14"/>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14"/>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14"/>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14"/>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14"/>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14"/>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14"/>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14"/>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14"/>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14"/>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14"/>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14"/>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14"/>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14"/>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14"/>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14"/>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14"/>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14"/>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14"/>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14"/>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14"/>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14"/>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14"/>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14"/>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14"/>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14"/>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14"/>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14"/>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14"/>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14"/>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14"/>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14"/>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14"/>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14"/>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14"/>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14"/>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14"/>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14"/>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14"/>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14"/>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14"/>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14"/>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14"/>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14"/>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14"/>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14"/>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14"/>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14"/>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14"/>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14"/>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14"/>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14"/>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14"/>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14"/>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14"/>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14"/>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14"/>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14"/>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14"/>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14"/>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14"/>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14"/>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14"/>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14"/>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14"/>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14"/>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14"/>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14"/>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14"/>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14"/>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14"/>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14"/>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14"/>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14"/>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14"/>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14"/>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14"/>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14"/>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14"/>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14"/>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14"/>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14"/>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14"/>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14"/>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14"/>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14"/>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14"/>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14"/>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14"/>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14"/>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14"/>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14"/>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14"/>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14"/>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14"/>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14"/>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14"/>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14"/>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14"/>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14"/>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14"/>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14"/>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14"/>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14"/>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14"/>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14"/>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14"/>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14"/>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14"/>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14"/>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14"/>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14"/>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14"/>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14"/>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14"/>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14"/>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14"/>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14"/>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14"/>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14"/>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14"/>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14"/>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14"/>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14"/>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14"/>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14"/>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14"/>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14"/>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14"/>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14"/>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14"/>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14"/>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14"/>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14"/>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14"/>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14"/>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14"/>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14"/>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14"/>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14"/>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14"/>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14"/>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14"/>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14"/>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14"/>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14"/>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14"/>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14"/>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14"/>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14"/>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14"/>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14"/>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14"/>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14"/>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14"/>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14"/>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14"/>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14"/>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14"/>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14"/>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14"/>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14"/>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14"/>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14"/>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14"/>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14"/>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14"/>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14"/>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14"/>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14"/>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14"/>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14"/>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14"/>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14"/>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14"/>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14"/>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14"/>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14"/>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14"/>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14"/>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14"/>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14"/>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14"/>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14"/>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14"/>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14"/>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14"/>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14"/>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14"/>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14"/>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14"/>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14"/>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14"/>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14"/>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14"/>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14"/>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14"/>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14"/>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14"/>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14"/>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14"/>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14"/>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14"/>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14"/>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14"/>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14"/>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14"/>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14"/>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14"/>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14"/>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14"/>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14"/>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14"/>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14"/>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14"/>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14"/>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14"/>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14"/>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14"/>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14"/>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14"/>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14"/>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14"/>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14"/>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14"/>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14"/>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14"/>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14"/>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14"/>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14"/>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14"/>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14"/>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14"/>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14"/>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14"/>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14"/>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14"/>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14"/>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14"/>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14"/>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14"/>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14"/>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14"/>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14"/>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14"/>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14"/>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14"/>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14"/>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14"/>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14"/>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14"/>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14"/>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14"/>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14"/>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14"/>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14"/>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14"/>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14"/>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14"/>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14"/>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14"/>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14"/>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14"/>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14"/>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14"/>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14"/>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14"/>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14"/>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14"/>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14"/>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14"/>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14"/>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14"/>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14"/>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14"/>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14"/>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14"/>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14"/>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14"/>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14"/>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14"/>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14"/>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14"/>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14"/>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14"/>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14"/>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14"/>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14"/>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14"/>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14"/>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14"/>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14"/>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14"/>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14"/>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14"/>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14"/>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14"/>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14"/>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14"/>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14"/>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14"/>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14"/>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14"/>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14"/>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14"/>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14"/>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14"/>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14"/>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14"/>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14"/>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14"/>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14"/>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14"/>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14"/>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14"/>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14"/>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14"/>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14"/>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14"/>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14"/>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14"/>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14"/>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14"/>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14"/>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14"/>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14"/>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14"/>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14"/>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14"/>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14"/>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14"/>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14"/>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14"/>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14"/>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14"/>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14"/>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14"/>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14"/>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14"/>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14"/>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14"/>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14"/>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14"/>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14"/>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14"/>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14"/>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14"/>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14"/>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14"/>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14"/>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14"/>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14"/>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14"/>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14"/>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14"/>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14"/>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14"/>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14"/>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14"/>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14"/>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14"/>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14"/>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14"/>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14"/>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14"/>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14"/>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14"/>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14"/>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14"/>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14"/>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14"/>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14"/>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14"/>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14"/>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14"/>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14"/>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14"/>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14"/>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14"/>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14"/>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14"/>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14"/>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14"/>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14"/>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14"/>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14"/>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14"/>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14"/>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14"/>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14"/>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14"/>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14"/>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14"/>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14"/>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14"/>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14"/>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14"/>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14"/>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14"/>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14"/>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14"/>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14"/>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14"/>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14"/>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14"/>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14"/>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14"/>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14"/>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14"/>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14"/>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14"/>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14"/>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14"/>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14"/>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14"/>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14"/>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14"/>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14"/>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14"/>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14"/>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14"/>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14"/>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14"/>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14"/>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14"/>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14"/>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14"/>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14"/>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14"/>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14"/>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14"/>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14"/>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14"/>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14"/>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14"/>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14"/>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14"/>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14"/>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14"/>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14"/>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14"/>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14"/>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14"/>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14"/>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14"/>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14"/>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14"/>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14"/>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14"/>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14"/>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14"/>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14"/>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14"/>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14"/>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14"/>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14"/>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14"/>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14"/>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14"/>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14"/>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14"/>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14"/>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14"/>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14"/>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14"/>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14"/>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14"/>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14"/>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14"/>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14"/>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14"/>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14"/>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14"/>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14"/>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14"/>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14"/>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14"/>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14"/>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14"/>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14"/>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14"/>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14"/>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14"/>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14"/>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14"/>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14"/>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14"/>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14"/>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14"/>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14"/>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14"/>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14"/>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14"/>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14"/>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14"/>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14"/>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14"/>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14"/>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14"/>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14"/>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14"/>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14"/>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14"/>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14"/>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14"/>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14"/>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14"/>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14"/>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14"/>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14"/>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14"/>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14"/>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14"/>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14"/>
      <c r="F1000" s="6"/>
      <c r="G1000" s="6"/>
      <c r="H1000" s="6"/>
      <c r="I1000" s="6"/>
      <c r="J1000" s="6"/>
      <c r="K1000" s="6"/>
      <c r="L1000" s="6"/>
      <c r="M1000" s="6"/>
      <c r="N1000" s="6"/>
      <c r="O1000" s="6"/>
      <c r="P1000" s="6"/>
      <c r="Q1000" s="6"/>
      <c r="R1000" s="6"/>
      <c r="S1000" s="6"/>
      <c r="T1000" s="6"/>
      <c r="U1000" s="6"/>
      <c r="V1000" s="6"/>
      <c r="W1000" s="6"/>
      <c r="X1000" s="6"/>
      <c r="Y1000" s="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916355160015</dc:creator>
  <cp:lastModifiedBy>916355160015</cp:lastModifiedBy>
  <dcterms:created xsi:type="dcterms:W3CDTF">2026-04-22T02:34:04Z</dcterms:created>
  <dcterms:modified xsi:type="dcterms:W3CDTF">2026-04-23T05:22:02Z</dcterms:modified>
</cp:coreProperties>
</file>